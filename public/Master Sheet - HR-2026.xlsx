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ljet\hr\administrative\"/>
    </mc:Choice>
  </mc:AlternateContent>
  <xr:revisionPtr revIDLastSave="0" documentId="13_ncr:1_{72302B19-FBF1-4700-BF3E-9D733FAE3E8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mployee_master1" sheetId="1" r:id="rId1"/>
    <sheet name="Annual Leave Taruking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s">#REF!</definedName>
    <definedName name="\w">#REF!</definedName>
    <definedName name="_ALC30">'[1]STAFF WITH OT'!#REF!</definedName>
    <definedName name="_AMC30">'[1]STAFF WITH OT'!#REF!</definedName>
    <definedName name="_Fill" hidden="1">#REF!</definedName>
    <definedName name="_xlnm._FilterDatabase" localSheetId="0" hidden="1">employee_master1!$A$3:$Q$37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_Top50">#REF!</definedName>
    <definedName name="a">#REF!</definedName>
    <definedName name="aa">#REF!</definedName>
    <definedName name="aaa" hidden="1">#REF!</definedName>
    <definedName name="aaaa" hidden="1">#REF!</definedName>
    <definedName name="AcF_Val">#REF!</definedName>
    <definedName name="AcI_Val">#REF!</definedName>
    <definedName name="AcM_Val">#REF!</definedName>
    <definedName name="activity">[2]Grade!$G$12:$G$56</definedName>
    <definedName name="afadsfsadfadsfadsfads">#REF!</definedName>
    <definedName name="ALL_GRADES">'[3]group job master list'!#REF!</definedName>
    <definedName name="Allowances">#REF!</definedName>
    <definedName name="BaseLessRegionalAllowance1">#REF!</definedName>
    <definedName name="BaseSalary1">#REF!</definedName>
    <definedName name="bonus_0">[4]EmployeeMaster!$AV$6:$AV$23</definedName>
    <definedName name="bonus_1">[4]Micro!$D$19</definedName>
    <definedName name="bonus_1_r">[4]EmployeeMaster!$AM$6:$AM$23</definedName>
    <definedName name="bonus_p_07">[5]EmployeeMaster!#REF!</definedName>
    <definedName name="bonusid">[4]EmployeeMaster!$D$6:$D$23</definedName>
    <definedName name="By_grade">#REF!</definedName>
    <definedName name="by_grd">#REF!</definedName>
    <definedName name="by_grde">#REF!</definedName>
    <definedName name="by_Survey_Benchmark_Role">#REF!</definedName>
    <definedName name="by_Survey_Family_Code">#REF!</definedName>
    <definedName name="by_Survey_Position_Code">#REF!</definedName>
    <definedName name="ByNationality">#REF!</definedName>
    <definedName name="ByOwnership">#REF!</definedName>
    <definedName name="ByRegion">#REF!</definedName>
    <definedName name="CarBenefit1">#REF!</definedName>
    <definedName name="co">[5]EmployeeMaster!$E$6:$E$1784</definedName>
    <definedName name="Construction">'[6]STAFF WITH OT'!#REF!</definedName>
    <definedName name="CountryComp">#REF!</definedName>
    <definedName name="current_year">#REF!</definedName>
    <definedName name="d">#REF!</definedName>
    <definedName name="_xlnm.Database">#REF!</definedName>
    <definedName name="eligible_years_of_service">[7]Data!$T$27086</definedName>
    <definedName name="external_factors">[5]Macro!$C$5:$I$29</definedName>
    <definedName name="f">#REF!</definedName>
    <definedName name="FamilyAll">#REF!</definedName>
    <definedName name="FamilyNats">#REF!</definedName>
    <definedName name="FamilyNonNats">#REF!</definedName>
    <definedName name="ff">#REF!</definedName>
    <definedName name="Format2Print">#REF!</definedName>
    <definedName name="g">#REF!</definedName>
    <definedName name="General_Market">#REF!</definedName>
    <definedName name="GeneralMarket">#REF!</definedName>
    <definedName name="gg">#REF!</definedName>
    <definedName name="HayPoints1">#REF!</definedName>
    <definedName name="KHB_Val">#REF!</definedName>
    <definedName name="KHHRS_Val">#REF!</definedName>
    <definedName name="kkk">#REF!</definedName>
    <definedName name="LetterVal">#REF!</definedName>
    <definedName name="LIST_AGE_GRP">'[3]group job master list'!#REF!</definedName>
    <definedName name="LIST_BU">'[3]group job master list'!#REF!</definedName>
    <definedName name="LIST_CO">'[3]group job master list'!#REF!</definedName>
    <definedName name="LIST_GRD">'[3]group job master list'!#REF!</definedName>
    <definedName name="LIST_NAT">'[3]group job master list'!#REF!</definedName>
    <definedName name="LIST_NAT_GRP">'[3]group job master list'!#REF!</definedName>
    <definedName name="LIST_POSITIONS">'[3]group job master list'!#REF!</definedName>
    <definedName name="LIST_PROP_POSITIONS">'[3]group job master list'!$B$2:$B$1182</definedName>
    <definedName name="LIST_YRS">'[3]group job master list'!#REF!</definedName>
    <definedName name="Management_Staff">'[3]group job master list'!#REF!</definedName>
    <definedName name="market_position">[2]Grade!$F$4:$F$8</definedName>
    <definedName name="Menu_AGE_GROUP">'[8]Attrition Dashboard'!$J$8</definedName>
    <definedName name="Menu_BU">'[8]Attrition Dashboard'!$C$5</definedName>
    <definedName name="Menu_CO">'[8]Attrition Dashboard'!$C$4</definedName>
    <definedName name="Menu_GRD">'[8]Attrition Dashboard'!$C$6</definedName>
    <definedName name="MENU_JT_BU">'[8]Attrition per Job Title'!$G$5</definedName>
    <definedName name="MENU_JT_CO">'[8]Attrition per Job Title'!$G$4</definedName>
    <definedName name="MENU_JT_NAT">'[8]Attrition per Job Title'!$G$7</definedName>
    <definedName name="MENU_JT_NAT_GROUP">'[8]Attrition per Job Title'!$G$8</definedName>
    <definedName name="MENU_JT_Saudi">'[8]Attrition per Job Title'!$G$6</definedName>
    <definedName name="Menu_Level">'[8]Attrition Dashboard'!$C$8</definedName>
    <definedName name="Menu_NAT">'[8]Attrition Dashboard'!$J$5</definedName>
    <definedName name="Menu_NAT_GROUP">'[8]Attrition Dashboard'!$J$6</definedName>
    <definedName name="Menu_Position">'[8]Attrition Dashboard'!$C$7</definedName>
    <definedName name="Menu_Saudi">'[8]Attrition Dashboard'!$J$7</definedName>
    <definedName name="months">#REF!</definedName>
    <definedName name="NatComp">#REF!</definedName>
    <definedName name="oldpositionid">[5]EmployeeMaster!$A$6:$A$1784</definedName>
    <definedName name="OnTargetVariableBonus1">#REF!</definedName>
    <definedName name="ov_bonus_sr_07">[5]EmployeeMaster!#REF!</definedName>
    <definedName name="OwnComp">#REF!</definedName>
    <definedName name="p">#REF!</definedName>
    <definedName name="Participants">#REF!</definedName>
    <definedName name="pp">#REF!</definedName>
    <definedName name="Premium" hidden="1">#REF!</definedName>
    <definedName name="Print_Area_MI">#REF!</definedName>
    <definedName name="profit_0">[4]Micro!$E$12</definedName>
    <definedName name="profit_1">[4]Micro!$D$12</definedName>
    <definedName name="prop_positionid">'[9]EmployeeMaster~2008 Jan'!$B$6:$B$1784</definedName>
    <definedName name="PSC_Val">#REF!</definedName>
    <definedName name="PSF_Val">#REF!</definedName>
    <definedName name="q">#REF!</definedName>
    <definedName name="qqqqqq">#REF!</definedName>
    <definedName name="RegComparison">#REF!</definedName>
    <definedName name="RoleAll">#REF!</definedName>
    <definedName name="RoleNats">#REF!</definedName>
    <definedName name="RoleNonNats">#REF!</definedName>
    <definedName name="salary_08">[5]EmployeeMaster!$AR$6:$AR$1784</definedName>
    <definedName name="salary_12_0">[4]EmployeeMaster!$AQ$6:$AQ$23</definedName>
    <definedName name="salary_12_07">[5]EmployeeMaster!$AB$6:$AB$1784</definedName>
    <definedName name="salary_definitions">[2]Grade!$J$5:$J$8</definedName>
    <definedName name="salary_scale">'[9]FINAL REV~2007 END~ STAFF'!$F$2290:$J$2318</definedName>
    <definedName name="Saudi_Expat">'[3]group job master list'!#REF!</definedName>
    <definedName name="service_incentive_percentage">[7]Data!$T$27087</definedName>
    <definedName name="sf">#REF!</definedName>
    <definedName name="Sort_Marketing">#REF!</definedName>
    <definedName name="Sort_Parts">#REF!</definedName>
    <definedName name="Sort_Service">#REF!</definedName>
    <definedName name="ss" hidden="1">#REF!</definedName>
    <definedName name="sss" hidden="1">#REF!</definedName>
    <definedName name="t">#REF!</definedName>
    <definedName name="temp">#REF!</definedName>
    <definedName name="temp2">#REF!</definedName>
    <definedName name="temp3" hidden="1">#REF!</definedName>
    <definedName name="TotalBonus1">#REF!</definedName>
    <definedName name="TotalBonus2">#REF!</definedName>
    <definedName name="TotalCash1">#REF!</definedName>
    <definedName name="TotalCashAtTarget1">#REF!</definedName>
    <definedName name="TotalRemunaeration1">#REF!</definedName>
    <definedName name="TotalRemuneration1">#REF!</definedName>
    <definedName name="TotalRemuneration2">#REF!</definedName>
    <definedName name="tt">#REF!</definedName>
    <definedName name="Variable">#REF!</definedName>
    <definedName name="wrgwqrgwrqgwrqgwqrg">#REF!</definedName>
    <definedName name="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7" i="1" l="1"/>
  <c r="AI37" i="1"/>
  <c r="AK37" i="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G9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8" i="2"/>
  <c r="D8" i="2"/>
  <c r="G8" i="2" s="1"/>
  <c r="H8" i="2" s="1"/>
  <c r="I8" i="2" s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B8" i="2"/>
  <c r="A8" i="2"/>
  <c r="V13" i="1"/>
  <c r="X13" i="1"/>
  <c r="M13" i="1" s="1"/>
  <c r="Z13" i="1"/>
  <c r="AH13" i="1"/>
  <c r="AI13" i="1"/>
  <c r="AK13" i="1"/>
  <c r="J13" i="1"/>
  <c r="G13" i="1"/>
  <c r="H13" i="1"/>
  <c r="AJ13" i="1" s="1"/>
  <c r="V37" i="1"/>
  <c r="X37" i="1"/>
  <c r="Z37" i="1"/>
  <c r="J37" i="1"/>
  <c r="G37" i="1"/>
  <c r="H37" i="1"/>
  <c r="AJ37" i="1" s="1"/>
  <c r="J21" i="1"/>
  <c r="V21" i="1"/>
  <c r="X21" i="1"/>
  <c r="AI21" i="1" s="1"/>
  <c r="Z21" i="1"/>
  <c r="AK21" i="1"/>
  <c r="G21" i="1"/>
  <c r="H21" i="1"/>
  <c r="AJ21" i="1" s="1"/>
  <c r="J30" i="1"/>
  <c r="AH30" i="1"/>
  <c r="V30" i="1"/>
  <c r="X30" i="1"/>
  <c r="AI30" i="1" s="1"/>
  <c r="Z30" i="1"/>
  <c r="AK30" i="1"/>
  <c r="G30" i="1"/>
  <c r="H30" i="1"/>
  <c r="AJ30" i="1" s="1"/>
  <c r="X4" i="1"/>
  <c r="AI4" i="1" s="1"/>
  <c r="G4" i="1"/>
  <c r="H4" i="1"/>
  <c r="AJ4" i="1" s="1"/>
  <c r="J4" i="1"/>
  <c r="V4" i="1"/>
  <c r="AH4" i="1"/>
  <c r="AK4" i="1"/>
  <c r="M37" i="1" l="1"/>
  <c r="M30" i="1"/>
  <c r="M21" i="1"/>
  <c r="Z4" i="1"/>
  <c r="M4" i="1" s="1"/>
  <c r="G5" i="1" l="1"/>
  <c r="G6" i="1"/>
  <c r="G7" i="1"/>
  <c r="A44" i="2"/>
  <c r="G10" i="2"/>
  <c r="H10" i="2" s="1"/>
  <c r="I10" i="2" s="1"/>
  <c r="G11" i="2"/>
  <c r="H11" i="2" s="1"/>
  <c r="I11" i="2" s="1"/>
  <c r="G12" i="2"/>
  <c r="H12" i="2" s="1"/>
  <c r="I12" i="2" s="1"/>
  <c r="G13" i="2"/>
  <c r="H13" i="2" s="1"/>
  <c r="I13" i="2" s="1"/>
  <c r="G14" i="2"/>
  <c r="H14" i="2" s="1"/>
  <c r="I14" i="2" s="1"/>
  <c r="G15" i="2"/>
  <c r="H15" i="2" s="1"/>
  <c r="I15" i="2" s="1"/>
  <c r="G16" i="2"/>
  <c r="H16" i="2" s="1"/>
  <c r="I16" i="2" s="1"/>
  <c r="G17" i="2"/>
  <c r="H17" i="2" s="1"/>
  <c r="I17" i="2" s="1"/>
  <c r="G18" i="2"/>
  <c r="H18" i="2" s="1"/>
  <c r="I18" i="2" s="1"/>
  <c r="G19" i="2"/>
  <c r="H19" i="2" s="1"/>
  <c r="I19" i="2" s="1"/>
  <c r="G20" i="2"/>
  <c r="H20" i="2" s="1"/>
  <c r="I20" i="2" s="1"/>
  <c r="G21" i="2"/>
  <c r="H21" i="2" s="1"/>
  <c r="I21" i="2" s="1"/>
  <c r="G22" i="2"/>
  <c r="H22" i="2" s="1"/>
  <c r="I22" i="2" s="1"/>
  <c r="G23" i="2"/>
  <c r="H23" i="2" s="1"/>
  <c r="I23" i="2" s="1"/>
  <c r="G24" i="2"/>
  <c r="H24" i="2" s="1"/>
  <c r="I24" i="2" s="1"/>
  <c r="G25" i="2"/>
  <c r="H25" i="2" s="1"/>
  <c r="I25" i="2" s="1"/>
  <c r="G26" i="2"/>
  <c r="H26" i="2" s="1"/>
  <c r="I26" i="2" s="1"/>
  <c r="G27" i="2"/>
  <c r="H27" i="2" s="1"/>
  <c r="I27" i="2" s="1"/>
  <c r="G28" i="2"/>
  <c r="H28" i="2" s="1"/>
  <c r="I28" i="2" s="1"/>
  <c r="G29" i="2"/>
  <c r="H29" i="2" s="1"/>
  <c r="I29" i="2" s="1"/>
  <c r="G30" i="2"/>
  <c r="H30" i="2" s="1"/>
  <c r="I30" i="2" s="1"/>
  <c r="G31" i="2"/>
  <c r="H31" i="2" s="1"/>
  <c r="I31" i="2" s="1"/>
  <c r="G32" i="2"/>
  <c r="H32" i="2" s="1"/>
  <c r="I32" i="2" s="1"/>
  <c r="G33" i="2"/>
  <c r="H33" i="2" s="1"/>
  <c r="I33" i="2" s="1"/>
  <c r="G34" i="2"/>
  <c r="H34" i="2" s="1"/>
  <c r="I34" i="2" s="1"/>
  <c r="G35" i="2"/>
  <c r="H35" i="2" s="1"/>
  <c r="I35" i="2" s="1"/>
  <c r="G36" i="2"/>
  <c r="H36" i="2" s="1"/>
  <c r="I36" i="2" s="1"/>
  <c r="G37" i="2"/>
  <c r="H37" i="2" s="1"/>
  <c r="I37" i="2" s="1"/>
  <c r="G38" i="2"/>
  <c r="H38" i="2" s="1"/>
  <c r="I38" i="2" s="1"/>
  <c r="G39" i="2"/>
  <c r="H39" i="2" s="1"/>
  <c r="I39" i="2" s="1"/>
  <c r="G40" i="2"/>
  <c r="H40" i="2" s="1"/>
  <c r="I40" i="2" s="1"/>
  <c r="G41" i="2"/>
  <c r="H41" i="2" s="1"/>
  <c r="I41" i="2" s="1"/>
  <c r="D44" i="2"/>
  <c r="G44" i="2" s="1"/>
  <c r="H44" i="2" s="1"/>
  <c r="C44" i="2"/>
  <c r="F44" i="2" s="1"/>
  <c r="G8" i="1"/>
  <c r="AK5" i="1"/>
  <c r="X14" i="1"/>
  <c r="AI14" i="1" s="1"/>
  <c r="V14" i="1"/>
  <c r="F2" i="1"/>
  <c r="H7" i="1"/>
  <c r="AJ7" i="1" s="1"/>
  <c r="H10" i="1"/>
  <c r="AJ10" i="1" s="1"/>
  <c r="H8" i="1"/>
  <c r="AJ8" i="1" s="1"/>
  <c r="H9" i="1"/>
  <c r="AJ9" i="1" s="1"/>
  <c r="H11" i="1"/>
  <c r="AJ11" i="1" s="1"/>
  <c r="H12" i="1"/>
  <c r="AJ12" i="1" s="1"/>
  <c r="H14" i="1"/>
  <c r="AJ14" i="1" s="1"/>
  <c r="H15" i="1"/>
  <c r="AJ15" i="1" s="1"/>
  <c r="H16" i="1"/>
  <c r="AJ16" i="1" s="1"/>
  <c r="H17" i="1"/>
  <c r="AJ17" i="1" s="1"/>
  <c r="H18" i="1"/>
  <c r="AJ18" i="1" s="1"/>
  <c r="H19" i="1"/>
  <c r="AJ19" i="1" s="1"/>
  <c r="H20" i="1"/>
  <c r="AJ20" i="1" s="1"/>
  <c r="H22" i="1"/>
  <c r="AJ22" i="1" s="1"/>
  <c r="H23" i="1"/>
  <c r="AJ23" i="1" s="1"/>
  <c r="H24" i="1"/>
  <c r="AJ24" i="1" s="1"/>
  <c r="H25" i="1"/>
  <c r="AJ25" i="1" s="1"/>
  <c r="H26" i="1"/>
  <c r="AJ26" i="1" s="1"/>
  <c r="H27" i="1"/>
  <c r="AJ27" i="1" s="1"/>
  <c r="H28" i="1"/>
  <c r="AJ28" i="1" s="1"/>
  <c r="H29" i="1"/>
  <c r="AJ29" i="1" s="1"/>
  <c r="H31" i="1"/>
  <c r="AJ31" i="1" s="1"/>
  <c r="H32" i="1"/>
  <c r="AJ32" i="1" s="1"/>
  <c r="H33" i="1"/>
  <c r="AJ33" i="1" s="1"/>
  <c r="H34" i="1"/>
  <c r="AJ34" i="1" s="1"/>
  <c r="H35" i="1"/>
  <c r="AJ35" i="1" s="1"/>
  <c r="H36" i="1"/>
  <c r="AJ36" i="1" s="1"/>
  <c r="H6" i="1"/>
  <c r="AH7" i="1"/>
  <c r="AH10" i="1"/>
  <c r="AH8" i="1"/>
  <c r="AH9" i="1"/>
  <c r="AH11" i="1"/>
  <c r="AH12" i="1"/>
  <c r="AH14" i="1"/>
  <c r="AH15" i="1"/>
  <c r="AH16" i="1"/>
  <c r="AH17" i="1"/>
  <c r="AH18" i="1"/>
  <c r="AH19" i="1"/>
  <c r="AH20" i="1"/>
  <c r="AH22" i="1"/>
  <c r="AH23" i="1"/>
  <c r="AH24" i="1"/>
  <c r="AH25" i="1"/>
  <c r="AH26" i="1"/>
  <c r="AH27" i="1"/>
  <c r="AH28" i="1"/>
  <c r="AH29" i="1"/>
  <c r="AH31" i="1"/>
  <c r="AH32" i="1"/>
  <c r="AH33" i="1"/>
  <c r="AH34" i="1"/>
  <c r="AH35" i="1"/>
  <c r="AH36" i="1"/>
  <c r="G14" i="1"/>
  <c r="J14" i="1"/>
  <c r="AK14" i="1"/>
  <c r="Z14" i="1"/>
  <c r="G10" i="1"/>
  <c r="G9" i="1"/>
  <c r="G11" i="1"/>
  <c r="G12" i="1"/>
  <c r="G15" i="1"/>
  <c r="G16" i="1"/>
  <c r="G17" i="1"/>
  <c r="G23" i="1"/>
  <c r="G24" i="1"/>
  <c r="G18" i="1"/>
  <c r="G19" i="1"/>
  <c r="G20" i="1"/>
  <c r="G22" i="1"/>
  <c r="G25" i="1"/>
  <c r="G26" i="1"/>
  <c r="G27" i="1"/>
  <c r="G28" i="1"/>
  <c r="G29" i="1"/>
  <c r="G31" i="1"/>
  <c r="G32" i="1"/>
  <c r="G33" i="1"/>
  <c r="G34" i="1"/>
  <c r="G35" i="1"/>
  <c r="G36" i="1"/>
  <c r="Z7" i="1"/>
  <c r="Z10" i="1"/>
  <c r="Z8" i="1"/>
  <c r="Z9" i="1"/>
  <c r="Z19" i="1"/>
  <c r="Z20" i="1"/>
  <c r="Z22" i="1"/>
  <c r="Z25" i="1"/>
  <c r="Z26" i="1"/>
  <c r="Z27" i="1"/>
  <c r="Z28" i="1"/>
  <c r="Z29" i="1"/>
  <c r="Z31" i="1"/>
  <c r="Z32" i="1"/>
  <c r="Z33" i="1"/>
  <c r="Z34" i="1"/>
  <c r="Z35" i="1"/>
  <c r="Z36" i="1"/>
  <c r="Z6" i="1"/>
  <c r="X7" i="1"/>
  <c r="AI7" i="1" s="1"/>
  <c r="X10" i="1"/>
  <c r="X8" i="1"/>
  <c r="X9" i="1"/>
  <c r="AI9" i="1" s="1"/>
  <c r="X19" i="1"/>
  <c r="AI19" i="1" s="1"/>
  <c r="X20" i="1"/>
  <c r="AI20" i="1" s="1"/>
  <c r="X22" i="1"/>
  <c r="AI22" i="1" s="1"/>
  <c r="X25" i="1"/>
  <c r="AI25" i="1" s="1"/>
  <c r="X26" i="1"/>
  <c r="AI26" i="1" s="1"/>
  <c r="X27" i="1"/>
  <c r="AI27" i="1" s="1"/>
  <c r="X28" i="1"/>
  <c r="AI28" i="1" s="1"/>
  <c r="X29" i="1"/>
  <c r="AI29" i="1" s="1"/>
  <c r="X31" i="1"/>
  <c r="AI31" i="1" s="1"/>
  <c r="X32" i="1"/>
  <c r="AI32" i="1" s="1"/>
  <c r="X33" i="1"/>
  <c r="AI33" i="1" s="1"/>
  <c r="X34" i="1"/>
  <c r="AI34" i="1" s="1"/>
  <c r="X35" i="1"/>
  <c r="AI35" i="1" s="1"/>
  <c r="X36" i="1"/>
  <c r="AI36" i="1" s="1"/>
  <c r="X6" i="1"/>
  <c r="AI6" i="1" s="1"/>
  <c r="V7" i="1"/>
  <c r="V10" i="1"/>
  <c r="V8" i="1"/>
  <c r="V9" i="1"/>
  <c r="V19" i="1"/>
  <c r="V20" i="1"/>
  <c r="V22" i="1"/>
  <c r="V25" i="1"/>
  <c r="V26" i="1"/>
  <c r="V27" i="1"/>
  <c r="V28" i="1"/>
  <c r="V29" i="1"/>
  <c r="V31" i="1"/>
  <c r="V32" i="1"/>
  <c r="V33" i="1"/>
  <c r="V34" i="1"/>
  <c r="V35" i="1"/>
  <c r="V36" i="1"/>
  <c r="V6" i="1"/>
  <c r="AK6" i="1"/>
  <c r="AK7" i="1"/>
  <c r="AK9" i="1"/>
  <c r="AK19" i="1"/>
  <c r="AK20" i="1"/>
  <c r="AK22" i="1"/>
  <c r="AK25" i="1"/>
  <c r="AK26" i="1"/>
  <c r="AK27" i="1"/>
  <c r="AK28" i="1"/>
  <c r="AK29" i="1"/>
  <c r="AK31" i="1"/>
  <c r="AK32" i="1"/>
  <c r="AK33" i="1"/>
  <c r="AK34" i="1"/>
  <c r="AK35" i="1"/>
  <c r="AK36" i="1"/>
  <c r="H5" i="1"/>
  <c r="AJ5" i="1" s="1"/>
  <c r="J10" i="1"/>
  <c r="J7" i="1"/>
  <c r="J8" i="1"/>
  <c r="J9" i="1"/>
  <c r="J11" i="1"/>
  <c r="J12" i="1"/>
  <c r="J15" i="1"/>
  <c r="J16" i="1"/>
  <c r="J17" i="1"/>
  <c r="J23" i="1"/>
  <c r="J24" i="1"/>
  <c r="J18" i="1"/>
  <c r="J19" i="1"/>
  <c r="J20" i="1"/>
  <c r="J22" i="1"/>
  <c r="J25" i="1"/>
  <c r="J26" i="1"/>
  <c r="J27" i="1"/>
  <c r="J28" i="1"/>
  <c r="J29" i="1"/>
  <c r="J31" i="1"/>
  <c r="J32" i="1"/>
  <c r="J33" i="1"/>
  <c r="J34" i="1"/>
  <c r="J35" i="1"/>
  <c r="J36" i="1"/>
  <c r="J6" i="1"/>
  <c r="J5" i="1"/>
  <c r="AH6" i="1"/>
  <c r="V5" i="1"/>
  <c r="Z5" i="1"/>
  <c r="X5" i="1"/>
  <c r="AI5" i="1" s="1"/>
  <c r="M8" i="1" l="1"/>
  <c r="M10" i="1"/>
  <c r="M35" i="1"/>
  <c r="M19" i="1"/>
  <c r="M27" i="1"/>
  <c r="M34" i="1"/>
  <c r="M26" i="1"/>
  <c r="M33" i="1"/>
  <c r="M25" i="1"/>
  <c r="M9" i="1"/>
  <c r="M32" i="1"/>
  <c r="M31" i="1"/>
  <c r="M29" i="1"/>
  <c r="M22" i="1"/>
  <c r="M7" i="1"/>
  <c r="M5" i="1"/>
  <c r="M6" i="1"/>
  <c r="M36" i="1"/>
  <c r="M28" i="1"/>
  <c r="M20" i="1"/>
  <c r="M14" i="1"/>
  <c r="I44" i="2"/>
  <c r="H9" i="2"/>
  <c r="I9" i="2" s="1"/>
  <c r="V18" i="1"/>
  <c r="Z18" i="1"/>
  <c r="X18" i="1"/>
  <c r="AK18" i="1"/>
  <c r="V24" i="1"/>
  <c r="Z24" i="1"/>
  <c r="AK24" i="1"/>
  <c r="X24" i="1"/>
  <c r="AI24" i="1" s="1"/>
  <c r="AK23" i="1"/>
  <c r="V23" i="1"/>
  <c r="X23" i="1"/>
  <c r="AI23" i="1" s="1"/>
  <c r="Z23" i="1"/>
  <c r="AK17" i="1"/>
  <c r="Z17" i="1"/>
  <c r="X17" i="1"/>
  <c r="V17" i="1"/>
  <c r="AK16" i="1"/>
  <c r="X16" i="1"/>
  <c r="V16" i="1"/>
  <c r="Z16" i="1"/>
  <c r="Z15" i="1"/>
  <c r="AK15" i="1"/>
  <c r="X15" i="1"/>
  <c r="V15" i="1"/>
  <c r="AK12" i="1"/>
  <c r="V12" i="1"/>
  <c r="X12" i="1"/>
  <c r="Z12" i="1"/>
  <c r="V11" i="1"/>
  <c r="Z11" i="1"/>
  <c r="AK11" i="1"/>
  <c r="X11" i="1"/>
  <c r="AK8" i="1"/>
  <c r="AI8" i="1"/>
  <c r="AI10" i="1"/>
  <c r="AK10" i="1"/>
  <c r="AH5" i="1"/>
  <c r="AI12" i="1" l="1"/>
  <c r="M12" i="1"/>
  <c r="AI17" i="1"/>
  <c r="M17" i="1"/>
  <c r="M23" i="1"/>
  <c r="AI18" i="1"/>
  <c r="M18" i="1"/>
  <c r="AI15" i="1"/>
  <c r="M15" i="1"/>
  <c r="AI16" i="1"/>
  <c r="M16" i="1"/>
  <c r="AI11" i="1"/>
  <c r="M11" i="1"/>
  <c r="M39" i="1" s="1"/>
  <c r="M24" i="1"/>
  <c r="AJ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Vinu Jacob</author>
  </authors>
  <commentList>
    <comment ref="K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Vinu Jacob:</t>
        </r>
        <r>
          <rPr>
            <sz val="9"/>
            <color indexed="81"/>
            <rFont val="Tahoma"/>
            <family val="2"/>
          </rPr>
          <t xml:space="preserve">
A-Bachelor staying single outside company accommodation</t>
        </r>
      </text>
    </comment>
  </commentList>
</comments>
</file>

<file path=xl/sharedStrings.xml><?xml version="1.0" encoding="utf-8"?>
<sst xmlns="http://schemas.openxmlformats.org/spreadsheetml/2006/main" count="462" uniqueCount="176">
  <si>
    <t>Current</t>
  </si>
  <si>
    <t>passport id</t>
  </si>
  <si>
    <t>iqama id or national id</t>
  </si>
  <si>
    <t>emp.status</t>
  </si>
  <si>
    <t>Total Cash (Bonus)</t>
  </si>
  <si>
    <t>other staff cost</t>
  </si>
  <si>
    <t>job_name</t>
  </si>
  <si>
    <t>reports_to_id</t>
  </si>
  <si>
    <t>reports_to_name</t>
  </si>
  <si>
    <t>doj</t>
  </si>
  <si>
    <t>contract end date</t>
  </si>
  <si>
    <t>Service Years</t>
  </si>
  <si>
    <t>DOB</t>
  </si>
  <si>
    <t>Age</t>
  </si>
  <si>
    <t>Family St.</t>
  </si>
  <si>
    <t>CCHI Card Type</t>
  </si>
  <si>
    <t>Basic Salary</t>
  </si>
  <si>
    <t>emp. Status (active/withdrawn)</t>
  </si>
  <si>
    <t>contract type</t>
  </si>
  <si>
    <t>OT Allow</t>
  </si>
  <si>
    <t>loa</t>
  </si>
  <si>
    <t>Rent</t>
  </si>
  <si>
    <t>car_cost_monthly</t>
  </si>
  <si>
    <t>alow_spe</t>
  </si>
  <si>
    <t>alow_proj</t>
  </si>
  <si>
    <t>alow_food</t>
  </si>
  <si>
    <t>alow_others</t>
  </si>
  <si>
    <t>ALT Annual Leave Ticket</t>
  </si>
  <si>
    <t>Bonus Eligibility Months</t>
  </si>
  <si>
    <t>Bonus (tot amount divided by 12 for pm cost) SR</t>
  </si>
  <si>
    <t>GOSI p.m 
SR</t>
  </si>
  <si>
    <t>Indemnity pm 
SR</t>
  </si>
  <si>
    <t>Leave Accrual SR</t>
  </si>
  <si>
    <t>med_insr SR</t>
  </si>
  <si>
    <t>pa_insr &amp; life SR</t>
  </si>
  <si>
    <t>F</t>
  </si>
  <si>
    <t xml:space="preserve">active </t>
  </si>
  <si>
    <t>full time</t>
  </si>
  <si>
    <t>B</t>
  </si>
  <si>
    <t>REGON</t>
  </si>
  <si>
    <t>SABRI OMER</t>
  </si>
  <si>
    <t>MOHAMMED ALARABI</t>
  </si>
  <si>
    <t>HANI MOHAMMED</t>
  </si>
  <si>
    <t>MOHAMMAD SAIED</t>
  </si>
  <si>
    <t>OMER AWADALGED ALZAN</t>
  </si>
  <si>
    <t>AHMED ALSULTAN</t>
  </si>
  <si>
    <t>LOAY MAHJUB ELSHAIKH</t>
  </si>
  <si>
    <t>MAZIN OSMAN MOHAMED</t>
  </si>
  <si>
    <t>ALAAULDEEN ARABI</t>
  </si>
  <si>
    <t>MUHAND MOHAMMED</t>
  </si>
  <si>
    <t>KAMRUL MD JOYDAL</t>
  </si>
  <si>
    <t>RAIHADAHAMMAD</t>
  </si>
  <si>
    <t>MUZAMMAL MAQSOOD</t>
  </si>
  <si>
    <t>REFAT MOHAMED AHMED</t>
  </si>
  <si>
    <t>KHALID ABDU QAYID GHALIB</t>
  </si>
  <si>
    <t>ISMAIL MOHAMED IBRAHIM</t>
  </si>
  <si>
    <t>BADR AHMED AHMED ALISHARAF</t>
  </si>
  <si>
    <t>MANAGEMENT</t>
  </si>
  <si>
    <t>IT LADER</t>
  </si>
  <si>
    <t>ACCOUNTANT</t>
  </si>
  <si>
    <t>HR ASSISTANT</t>
  </si>
  <si>
    <t>SALES MANAGER</t>
  </si>
  <si>
    <t xml:space="preserve">SAELES </t>
  </si>
  <si>
    <t>HUBS SUPERVISOR</t>
  </si>
  <si>
    <t>FLEET SUPERVISOR</t>
  </si>
  <si>
    <t>LAYPPER</t>
  </si>
  <si>
    <t>HUB LADER</t>
  </si>
  <si>
    <t>Casher</t>
  </si>
  <si>
    <t>HASSAN SALAH MOHAMMED</t>
  </si>
  <si>
    <t xml:space="preserve"> HEAD OF.HR</t>
  </si>
  <si>
    <t>SD</t>
  </si>
  <si>
    <t>House Allown</t>
  </si>
  <si>
    <t>transportation allown</t>
  </si>
  <si>
    <t>MJ-001</t>
  </si>
  <si>
    <t>MJ-002</t>
  </si>
  <si>
    <t>MJ-003</t>
  </si>
  <si>
    <t>MJ-004</t>
  </si>
  <si>
    <t>MJ-005</t>
  </si>
  <si>
    <t>MJ-006</t>
  </si>
  <si>
    <t>MJ-007</t>
  </si>
  <si>
    <t>MJ-008</t>
  </si>
  <si>
    <t>MJ-009</t>
  </si>
  <si>
    <t>MJ-010</t>
  </si>
  <si>
    <t>MJ-011</t>
  </si>
  <si>
    <t>MJ-012</t>
  </si>
  <si>
    <t>MJ-013</t>
  </si>
  <si>
    <t>MJ-014</t>
  </si>
  <si>
    <t>MJ-015</t>
  </si>
  <si>
    <t>MJ-016</t>
  </si>
  <si>
    <t>MJ-017</t>
  </si>
  <si>
    <t>MJ-018</t>
  </si>
  <si>
    <t>MJ-019</t>
  </si>
  <si>
    <t>MJ-020</t>
  </si>
  <si>
    <t>MJ-021</t>
  </si>
  <si>
    <t>MJ-022</t>
  </si>
  <si>
    <t>MJ-023</t>
  </si>
  <si>
    <t>MJ-026</t>
  </si>
  <si>
    <t>MJ-027</t>
  </si>
  <si>
    <t>MJ-028</t>
  </si>
  <si>
    <t>MJ-029</t>
  </si>
  <si>
    <t>MJ-030</t>
  </si>
  <si>
    <t>MJ-031</t>
  </si>
  <si>
    <t>MJ-032</t>
  </si>
  <si>
    <t>MJ-033</t>
  </si>
  <si>
    <t>MOHSIN JAMILKHALID JAMIL</t>
  </si>
  <si>
    <t xml:space="preserve">SALES EXECUTIVE </t>
  </si>
  <si>
    <t>ARIF SARKER</t>
  </si>
  <si>
    <t>OFFICEBOY</t>
  </si>
  <si>
    <t>HASSANSASLAH</t>
  </si>
  <si>
    <t>AHMED SULTAN</t>
  </si>
  <si>
    <t>Emp-Name</t>
  </si>
  <si>
    <t>MOHAMMED YAHYA THAPT</t>
  </si>
  <si>
    <t>MUHAMMAD SHAHBAZ HUSSAIN</t>
  </si>
  <si>
    <t>SHAHZAIB ALI SHABBIR AHMED</t>
  </si>
  <si>
    <t>SAQLAIN ABBAS LIAQAT HUSSAIN</t>
  </si>
  <si>
    <t>NASSAR THABIT ALIAL</t>
  </si>
  <si>
    <t>RAFAT MOHAMED AHMEDADAM</t>
  </si>
  <si>
    <t>NUMAN SHUBAYR KALAMIAH</t>
  </si>
  <si>
    <t>AMEEN ABDO MOHAMMED</t>
  </si>
  <si>
    <t>courier</t>
  </si>
  <si>
    <t>jor</t>
  </si>
  <si>
    <t>Jordan</t>
  </si>
  <si>
    <t>EG</t>
  </si>
  <si>
    <t>Eygept</t>
  </si>
  <si>
    <t>PK</t>
  </si>
  <si>
    <t>Pakistani</t>
  </si>
  <si>
    <t>BD</t>
  </si>
  <si>
    <t>Madinah</t>
  </si>
  <si>
    <t>Riyadh</t>
  </si>
  <si>
    <t>Sudanes</t>
  </si>
  <si>
    <t>jeddah</t>
  </si>
  <si>
    <t>Dammam</t>
  </si>
  <si>
    <t>YE</t>
  </si>
  <si>
    <t>Yemeni</t>
  </si>
  <si>
    <t>Bangldeshi</t>
  </si>
  <si>
    <t>Qasim</t>
  </si>
  <si>
    <t>Mynamar</t>
  </si>
  <si>
    <t>MMR</t>
  </si>
  <si>
    <t>Nat</t>
  </si>
  <si>
    <t>MAZIN OSMAN</t>
  </si>
  <si>
    <t>Taem Lader</t>
  </si>
  <si>
    <t xml:space="preserve">ISMAIL MOHAMED </t>
  </si>
  <si>
    <t>OMER AWADALGED</t>
  </si>
  <si>
    <t>GM</t>
  </si>
  <si>
    <t>Director Mangar</t>
  </si>
  <si>
    <t>Total Salary</t>
  </si>
  <si>
    <t>Employee Name</t>
  </si>
  <si>
    <t>Annual Leave Entitlement (Days)</t>
  </si>
  <si>
    <t>Leave Taken (Days)</t>
  </si>
  <si>
    <t>Daily Wage</t>
  </si>
  <si>
    <t>Accrued Leave (Days)</t>
  </si>
  <si>
    <t>Remaining Leave (Days)</t>
  </si>
  <si>
    <t>Leave Value</t>
  </si>
  <si>
    <t>Annual Leave tarucking</t>
  </si>
  <si>
    <t>Emp-ID</t>
  </si>
  <si>
    <t>Emp_id</t>
  </si>
  <si>
    <t>KAHID FOUAD</t>
  </si>
  <si>
    <t>KHALID FOUAD</t>
  </si>
  <si>
    <t>VIC BOARD</t>
  </si>
  <si>
    <t>MJ-024</t>
  </si>
  <si>
    <t>MJ-025</t>
  </si>
  <si>
    <t>MJ-034</t>
  </si>
  <si>
    <t>MOHAMMED NOOR ALAM</t>
  </si>
  <si>
    <t>MOHAMMED ALI ABAKAR</t>
  </si>
  <si>
    <t>CH</t>
  </si>
  <si>
    <t>CHAD</t>
  </si>
  <si>
    <t>AKTER MATUBBER</t>
  </si>
  <si>
    <t>Mohammed abdalla hamad</t>
  </si>
  <si>
    <t xml:space="preserve">REFAT MOHAMED </t>
  </si>
  <si>
    <t>f</t>
  </si>
  <si>
    <t>EMP DETAILS</t>
  </si>
  <si>
    <t xml:space="preserve"> Nat ID</t>
  </si>
  <si>
    <t>Allowns</t>
  </si>
  <si>
    <t xml:space="preserve">Mohamad Yousef </t>
  </si>
  <si>
    <t>A+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</si>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</sst>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_(* #,##0_);_(* \(#,##0\);_(* &quot;-&quot;??_);_(@_)"/>
    <numFmt numFmtId="167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0"/>
      <color theme="1"/>
      <name val="Sakkal Majalla"/>
    </font>
    <font>
      <b/>
      <sz val="10"/>
      <color theme="1"/>
      <name val="Sakkal Majalla"/>
    </font>
    <font>
      <sz val="11"/>
      <color theme="1"/>
      <name val="Sakkal Majalla"/>
    </font>
    <font>
      <b/>
      <sz val="10"/>
      <color rgb="FFFF0000"/>
      <name val="Sakkal Majalla"/>
    </font>
    <font>
      <b/>
      <sz val="10"/>
      <name val="Sakkal Majalla"/>
    </font>
    <font>
      <b/>
      <sz val="9"/>
      <name val="Sakkal Majalla"/>
    </font>
    <font>
      <b/>
      <sz val="11"/>
      <color theme="1"/>
      <name val="Sakkal Majalla"/>
    </font>
    <font>
      <b/>
      <sz val="9"/>
      <color theme="1"/>
      <name val="Sakkal Majalla"/>
    </font>
    <font>
      <b/>
      <sz val="8"/>
      <color theme="1"/>
      <name val="Sakkal Majalla"/>
    </font>
    <font>
      <b/>
      <sz val="14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Sakkal Majalla"/>
    </font>
    <font>
      <b/>
      <sz val="10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D5BB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1499679555650502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2">
    <xf numFmtId="0" fontId="0" fillId="0" borderId="0" xfId="0"/>
    <xf numFmtId="0" fontId="5" fillId="0" borderId="0" xfId="0" applyFont="1"/>
    <xf numFmtId="0" fontId="7" fillId="0" borderId="0" xfId="0" applyFont="1"/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164" fontId="5" fillId="0" borderId="10" xfId="1" applyFont="1" applyBorder="1" applyAlignment="1">
      <alignment horizontal="center"/>
    </xf>
    <xf numFmtId="166" fontId="5" fillId="0" borderId="10" xfId="1" applyNumberFormat="1" applyFont="1" applyBorder="1"/>
    <xf numFmtId="0" fontId="5" fillId="0" borderId="1" xfId="0" applyFont="1" applyBorder="1"/>
    <xf numFmtId="167" fontId="5" fillId="0" borderId="10" xfId="1" applyNumberFormat="1" applyFont="1" applyFill="1" applyBorder="1"/>
    <xf numFmtId="164" fontId="5" fillId="0" borderId="10" xfId="1" applyFont="1" applyFill="1" applyBorder="1"/>
    <xf numFmtId="0" fontId="7" fillId="0" borderId="10" xfId="0" applyFont="1" applyBorder="1"/>
    <xf numFmtId="0" fontId="7" fillId="0" borderId="1" xfId="0" applyFont="1" applyBorder="1"/>
    <xf numFmtId="43" fontId="5" fillId="0" borderId="10" xfId="0" applyNumberFormat="1" applyFont="1" applyBorder="1"/>
    <xf numFmtId="165" fontId="5" fillId="0" borderId="10" xfId="0" applyNumberFormat="1" applyFont="1" applyBorder="1"/>
    <xf numFmtId="166" fontId="7" fillId="0" borderId="10" xfId="0" applyNumberFormat="1" applyFont="1" applyBorder="1"/>
    <xf numFmtId="165" fontId="8" fillId="2" borderId="0" xfId="0" applyNumberFormat="1" applyFont="1" applyFill="1"/>
    <xf numFmtId="165" fontId="5" fillId="0" borderId="0" xfId="0" applyNumberFormat="1" applyFont="1"/>
    <xf numFmtId="0" fontId="6" fillId="6" borderId="9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6" fillId="8" borderId="10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vertical="center" wrapText="1"/>
    </xf>
    <xf numFmtId="0" fontId="6" fillId="0" borderId="0" xfId="0" applyFont="1"/>
    <xf numFmtId="0" fontId="11" fillId="0" borderId="10" xfId="0" applyFont="1" applyBorder="1"/>
    <xf numFmtId="0" fontId="11" fillId="0" borderId="0" xfId="0" applyFont="1"/>
    <xf numFmtId="0" fontId="6" fillId="0" borderId="8" xfId="0" applyFont="1" applyBorder="1" applyAlignment="1">
      <alignment horizontal="center"/>
    </xf>
    <xf numFmtId="0" fontId="12" fillId="8" borderId="10" xfId="0" applyFont="1" applyFill="1" applyBorder="1" applyAlignment="1">
      <alignment vertical="center" wrapText="1"/>
    </xf>
    <xf numFmtId="0" fontId="13" fillId="8" borderId="10" xfId="0" applyFont="1" applyFill="1" applyBorder="1" applyAlignment="1">
      <alignment vertical="center" wrapText="1"/>
    </xf>
    <xf numFmtId="0" fontId="6" fillId="0" borderId="10" xfId="0" applyFont="1" applyBorder="1"/>
    <xf numFmtId="166" fontId="5" fillId="0" borderId="10" xfId="0" applyNumberFormat="1" applyFont="1" applyBorder="1" applyAlignment="1">
      <alignment horizontal="center"/>
    </xf>
    <xf numFmtId="166" fontId="8" fillId="6" borderId="6" xfId="1" applyNumberFormat="1" applyFont="1" applyFill="1" applyBorder="1" applyAlignment="1"/>
    <xf numFmtId="0" fontId="0" fillId="0" borderId="0" xfId="0" applyAlignment="1">
      <alignment horizontal="center"/>
    </xf>
    <xf numFmtId="0" fontId="7" fillId="0" borderId="10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7" fillId="0" borderId="10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7" fillId="0" borderId="10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15" fillId="9" borderId="10" xfId="0" applyFont="1" applyFill="1" applyBorder="1" applyAlignment="1">
      <alignment horizontal="center"/>
    </xf>
    <xf numFmtId="0" fontId="16" fillId="9" borderId="10" xfId="0" applyFont="1" applyFill="1" applyBorder="1" applyAlignment="1">
      <alignment horizontal="center"/>
    </xf>
    <xf numFmtId="1" fontId="16" fillId="9" borderId="10" xfId="0" applyNumberFormat="1" applyFont="1" applyFill="1" applyBorder="1" applyAlignment="1">
      <alignment horizontal="center"/>
    </xf>
    <xf numFmtId="0" fontId="16" fillId="9" borderId="10" xfId="0" applyFont="1" applyFill="1" applyBorder="1" applyAlignment="1">
      <alignment horizontal="center" wrapText="1"/>
    </xf>
    <xf numFmtId="0" fontId="0" fillId="8" borderId="0" xfId="0" applyFill="1"/>
    <xf numFmtId="0" fontId="17" fillId="8" borderId="0" xfId="0" applyFont="1" applyFill="1" applyAlignment="1">
      <alignment horizontal="center"/>
    </xf>
    <xf numFmtId="0" fontId="6" fillId="8" borderId="2" xfId="0" applyFont="1" applyFill="1" applyBorder="1"/>
    <xf numFmtId="0" fontId="5" fillId="8" borderId="2" xfId="0" applyFont="1" applyFill="1" applyBorder="1"/>
    <xf numFmtId="0" fontId="5" fillId="8" borderId="3" xfId="0" applyFont="1" applyFill="1" applyBorder="1"/>
    <xf numFmtId="0" fontId="5" fillId="8" borderId="4" xfId="0" applyFont="1" applyFill="1" applyBorder="1"/>
    <xf numFmtId="0" fontId="5" fillId="8" borderId="0" xfId="0" applyFont="1" applyFill="1"/>
    <xf numFmtId="0" fontId="5" fillId="8" borderId="0" xfId="0" applyFont="1" applyFill="1" applyAlignment="1">
      <alignment horizontal="center"/>
    </xf>
    <xf numFmtId="0" fontId="6" fillId="8" borderId="5" xfId="0" applyFont="1" applyFill="1" applyBorder="1"/>
    <xf numFmtId="0" fontId="7" fillId="8" borderId="0" xfId="0" applyFont="1" applyFill="1"/>
    <xf numFmtId="166" fontId="7" fillId="0" borderId="10" xfId="1" applyNumberFormat="1" applyFont="1" applyBorder="1" applyAlignment="1">
      <alignment horizontal="center"/>
    </xf>
    <xf numFmtId="165" fontId="16" fillId="9" borderId="10" xfId="0" applyNumberFormat="1" applyFont="1" applyFill="1" applyBorder="1" applyAlignment="1">
      <alignment horizontal="center" wrapText="1"/>
    </xf>
    <xf numFmtId="167" fontId="16" fillId="9" borderId="10" xfId="1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2" fillId="8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165" fontId="5" fillId="0" borderId="0" xfId="0" applyNumberFormat="1" applyFont="1" applyAlignment="1">
      <alignment horizontal="center"/>
    </xf>
    <xf numFmtId="164" fontId="5" fillId="0" borderId="0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166" fontId="7" fillId="0" borderId="0" xfId="0" applyNumberFormat="1" applyFont="1"/>
    <xf numFmtId="166" fontId="5" fillId="0" borderId="0" xfId="1" applyNumberFormat="1" applyFont="1" applyBorder="1"/>
    <xf numFmtId="167" fontId="5" fillId="0" borderId="0" xfId="1" applyNumberFormat="1" applyFont="1" applyFill="1" applyBorder="1"/>
    <xf numFmtId="164" fontId="5" fillId="0" borderId="0" xfId="1" applyFont="1" applyFill="1" applyBorder="1"/>
    <xf numFmtId="43" fontId="5" fillId="0" borderId="0" xfId="0" applyNumberFormat="1" applyFont="1"/>
    <xf numFmtId="0" fontId="7" fillId="0" borderId="0" xfId="0" applyFont="1" applyAlignment="1">
      <alignment horizontal="left"/>
    </xf>
    <xf numFmtId="0" fontId="16" fillId="11" borderId="10" xfId="0" applyFont="1" applyFill="1" applyBorder="1" applyAlignment="1">
      <alignment horizontal="left" wrapText="1"/>
    </xf>
    <xf numFmtId="0" fontId="10" fillId="12" borderId="10" xfId="0" applyFont="1" applyFill="1" applyBorder="1" applyAlignment="1">
      <alignment horizontal="left" wrapText="1"/>
    </xf>
    <xf numFmtId="0" fontId="9" fillId="12" borderId="10" xfId="0" applyFont="1" applyFill="1" applyBorder="1" applyAlignment="1">
      <alignment horizontal="left" wrapText="1"/>
    </xf>
    <xf numFmtId="0" fontId="6" fillId="13" borderId="10" xfId="0" applyFont="1" applyFill="1" applyBorder="1" applyAlignment="1">
      <alignment horizontal="left" wrapText="1"/>
    </xf>
    <xf numFmtId="167" fontId="9" fillId="13" borderId="10" xfId="1" applyNumberFormat="1" applyFont="1" applyFill="1" applyBorder="1" applyAlignment="1">
      <alignment horizontal="left" wrapText="1"/>
    </xf>
    <xf numFmtId="0" fontId="6" fillId="0" borderId="17" xfId="0" applyFont="1" applyBorder="1" applyAlignment="1">
      <alignment horizontal="center"/>
    </xf>
    <xf numFmtId="0" fontId="11" fillId="0" borderId="16" xfId="0" applyFont="1" applyBorder="1"/>
    <xf numFmtId="166" fontId="7" fillId="0" borderId="16" xfId="0" applyNumberFormat="1" applyFont="1" applyBorder="1"/>
    <xf numFmtId="0" fontId="6" fillId="0" borderId="10" xfId="0" applyFont="1" applyBorder="1" applyAlignment="1">
      <alignment horizontal="center"/>
    </xf>
    <xf numFmtId="0" fontId="6" fillId="7" borderId="15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167" fontId="9" fillId="0" borderId="10" xfId="1" applyNumberFormat="1" applyFont="1" applyFill="1" applyBorder="1" applyAlignment="1">
      <alignment horizontal="center" wrapText="1"/>
    </xf>
    <xf numFmtId="167" fontId="10" fillId="0" borderId="10" xfId="1" applyNumberFormat="1" applyFont="1" applyFill="1" applyBorder="1" applyAlignment="1">
      <alignment horizontal="center" wrapText="1"/>
    </xf>
    <xf numFmtId="167" fontId="5" fillId="0" borderId="10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0</xdr:rowOff>
    </xdr:from>
    <xdr:to>
      <xdr:col>2</xdr:col>
      <xdr:colOff>323850</xdr:colOff>
      <xdr:row>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FAD25C-7A7A-8C2A-9D2D-B755B48FF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6F6F6"/>
            </a:clrFrom>
            <a:clrTo>
              <a:srgbClr val="F6F6F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6" y="0"/>
          <a:ext cx="2343149" cy="1104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yasser.attwa\AppData\Local\Microsoft\Windows\Temporary%20Internet%20Files\Content.Outlook\R8BCPD64\FILES%20OF%20D%20BANERJEE\RECRUITMENT~2008\PAY%20SCALES~2008%20AND%20QUALIFICAITON%20NORMS\2008~PAY%20SCALES~CONSOLIDATED%20POSITION.xls?69506D3A" TargetMode="External"/><Relationship Id="rId1" Type="http://schemas.openxmlformats.org/officeDocument/2006/relationships/externalLinkPath" Target="file:///\\69506D3A\2008~PAY%20SCALES~CONSOLIDATED%20POSI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YASSER%20ATTWA%20ODT\Performance%20Management\PMS%202013\PAM%20SA%20(V%2011%20A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ASSER%20ATTWA%20ODT\companies\ncc%20td\promotions\Copy%20of%20Copy%20of%20NCC%20TD%20-%20Revised%20Job%20Title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INU%20JACOB\VINU%20JACOB-P2\SALARY%20INFLATION\Salary%20Reveiw-2011\After%20Mr.SA%20review_Files%20received%20from%20Mr.%20Banji%20on%2013th%20Dec%202011\USB2Shakeeb%2022Dec2011fr.Mr.Benji\aggrek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BANERJEE\Revision%20Feb08%20with%20hold%20cas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ES%20OF%20D%20BANERJEE\RECRUITMENT~2008\PAY%20SCALES~2008%20AND%20QUALIFICAITON%20NORMS\2008~PAY%20SCALES~CONSOLIDATED%20POSITI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R_VJ\Salary%20Master\Rezayat%20Group%20Sal_updated%20EmpMaster_forma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ader.aljeaan\Documents\Attrition%20Analysis%20Report\20131023%20-%20Attrition%20Analysis%20Report%20-%20v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asser.attwa\AppData\Local\Microsoft\Windows\Temporary%20Internet%20Files\Content.Outlook\R8BCPD64\PAYSCALE%20RELATED%20FILES\PAY%20REVISION%20AND%20RECOMMENDATION~2006%20ONWARDS\REVISION~2008\REVISIONS%20DURING~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Sal(copy)"/>
      <sheetName val="Sorting Details"/>
      <sheetName val="Emp"/>
      <sheetName val="ALL"/>
      <sheetName val="SAL~GRADE~EMP COUNT(LINKED)"/>
      <sheetName val="Sheet2"/>
      <sheetName val="GRADING FINALISATION"/>
      <sheetName val="Grade&amp; C_code"/>
      <sheetName val="Grade &amp; C_Code~(Pivot)"/>
      <sheetName val="Grade.separate(LINKED)"/>
      <sheetName val="STND JB TLTL~EASOW 3RD SEPT~08"/>
      <sheetName val="CONSOLIDATED POSITION(PREV)"/>
      <sheetName val="Emp_Sal_Postn(Crnt~Lnkd~ALL)"/>
      <sheetName val="CONSOLIDATED POSITION&lt;08~06~08&gt;"/>
      <sheetName val="Allow for HO"/>
      <sheetName val="Allowance Summary 18-06-08(VVR)"/>
      <sheetName val="HO Technical Persons 14~06~08"/>
      <sheetName val="HO STAFF DETAILS"/>
      <sheetName val="Allow Smry 30-06-08(Cur~Dt)"/>
      <sheetName val="CONSIDERED~18-08-08"/>
      <sheetName val="STAFF WITH OT"/>
      <sheetName val="SAUDI"/>
      <sheetName val="Allow Recom~01~07~08."/>
      <sheetName val="QUR INCNTV"/>
      <sheetName val="Code(Lnk Emp~All)-Lnk~SAL~GRD"/>
      <sheetName val="CAT~SAL~GRADE LIST (EXPA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pay strategy "/>
      <sheetName val="jobs"/>
      <sheetName val="data"/>
      <sheetName val="manpower analysis"/>
      <sheetName val="org"/>
      <sheetName val="roles"/>
      <sheetName val="EmpMaster"/>
      <sheetName val="EmpMaster (Template)"/>
      <sheetName val="PA &amp; Bonus"/>
      <sheetName val="GM PA "/>
      <sheetName val="Bonus Matrix"/>
      <sheetName val="Salary Benefits "/>
      <sheetName val="Current Policy"/>
      <sheetName val="POLICIES_SAUDI"/>
      <sheetName val="POLICIES_WESTERN"/>
      <sheetName val="POLICIES EASTERN"/>
      <sheetName val="POLICIES_KSA ARABS"/>
      <sheetName val="Airfare Rate"/>
      <sheetName val="Nationality"/>
      <sheetName val="Salary Data"/>
      <sheetName val="Rezayat Structure"/>
      <sheetName val="Hay"/>
      <sheetName val="Rezayat"/>
      <sheetName val="Resettlement ratios required"/>
      <sheetName val="By Nationality"/>
      <sheetName val="By Nationality (2)"/>
      <sheetName val="Grad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4">
          <cell r="F4" t="str">
            <v>D9</v>
          </cell>
        </row>
        <row r="5">
          <cell r="F5" t="str">
            <v>Q3</v>
          </cell>
          <cell r="J5" t="str">
            <v>Basic Salary</v>
          </cell>
        </row>
        <row r="6">
          <cell r="F6" t="str">
            <v>Median</v>
          </cell>
          <cell r="J6" t="str">
            <v>Base Salary</v>
          </cell>
        </row>
        <row r="7">
          <cell r="F7" t="str">
            <v>Q1</v>
          </cell>
          <cell r="J7" t="str">
            <v>Total Cash</v>
          </cell>
        </row>
        <row r="8">
          <cell r="F8" t="str">
            <v>D1</v>
          </cell>
          <cell r="J8" t="str">
            <v>Main Package</v>
          </cell>
        </row>
        <row r="12">
          <cell r="G12" t="str">
            <v>Agriculture, fishing and grazing horses</v>
          </cell>
        </row>
        <row r="13">
          <cell r="G13" t="str">
            <v>Farmers, fishermen and shepherds (private)</v>
          </cell>
        </row>
        <row r="14">
          <cell r="G14" t="str">
            <v>Agricultural and livestock production</v>
          </cell>
        </row>
        <row r="15">
          <cell r="G15" t="str">
            <v>Oil and gas extraction</v>
          </cell>
        </row>
        <row r="16">
          <cell r="G16" t="str">
            <v>Mining and quarrying</v>
          </cell>
        </row>
        <row r="17">
          <cell r="G17" t="str">
            <v>Manufacturing</v>
          </cell>
        </row>
        <row r="18">
          <cell r="G18" t="str">
            <v>Petrochemical, coal, rubber,</v>
          </cell>
        </row>
        <row r="19">
          <cell r="G19" t="str">
            <v>Cement industry</v>
          </cell>
        </row>
        <row r="20">
          <cell r="G20" t="str">
            <v>Electricity, gas and water</v>
          </cell>
        </row>
        <row r="21">
          <cell r="G21" t="str">
            <v>Building materials and construction</v>
          </cell>
        </row>
        <row r="22">
          <cell r="G22" t="str">
            <v>Maintenance and cleaning contracts and employment and subsistence</v>
          </cell>
        </row>
        <row r="23">
          <cell r="G23" t="str">
            <v>Wholesale and retail trade</v>
          </cell>
        </row>
        <row r="24">
          <cell r="G24" t="str">
            <v>Gold and jewelry trade</v>
          </cell>
        </row>
        <row r="25">
          <cell r="G25" t="str">
            <v>Pharmacies and drug stores</v>
          </cell>
        </row>
        <row r="26">
          <cell r="G26" t="str">
            <v>Nutrition Services</v>
          </cell>
        </row>
        <row r="27">
          <cell r="G27" t="str">
            <v>Accommodation and Tourism</v>
          </cell>
        </row>
        <row r="28">
          <cell r="G28" t="str">
            <v>Transport of passengers and goods outside the cities</v>
          </cell>
        </row>
        <row r="29">
          <cell r="G29" t="str">
            <v>Land transport of passengers within cities</v>
          </cell>
        </row>
        <row r="30">
          <cell r="G30" t="str">
            <v>Road transport of goods within cities</v>
          </cell>
        </row>
        <row r="31">
          <cell r="G31" t="str">
            <v>Shipping</v>
          </cell>
        </row>
        <row r="32">
          <cell r="G32" t="str">
            <v>Storage</v>
          </cell>
        </row>
        <row r="33">
          <cell r="G33" t="str">
            <v>Air transport</v>
          </cell>
        </row>
        <row r="34">
          <cell r="G34" t="str">
            <v>Communications</v>
          </cell>
        </row>
        <row r="35">
          <cell r="G35" t="str">
            <v>Insurance and Business Services</v>
          </cell>
        </row>
        <row r="36">
          <cell r="G36" t="str">
            <v>Financial institutions (banks)</v>
          </cell>
        </row>
        <row r="37">
          <cell r="G37" t="str">
            <v>Collection offices and real estate services</v>
          </cell>
        </row>
        <row r="38">
          <cell r="G38" t="str">
            <v>And business advisory services</v>
          </cell>
        </row>
        <row r="39">
          <cell r="G39" t="str">
            <v>Collective and social services</v>
          </cell>
        </row>
        <row r="40">
          <cell r="G40" t="str">
            <v>General Services Offices (comment)</v>
          </cell>
        </row>
        <row r="41">
          <cell r="G41" t="str">
            <v>Private recruitment agents</v>
          </cell>
        </row>
        <row r="42">
          <cell r="G42" t="str">
            <v>Personal services</v>
          </cell>
        </row>
        <row r="43">
          <cell r="G43" t="str">
            <v>Workshops and maintenance shops</v>
          </cell>
        </row>
        <row r="44">
          <cell r="G44" t="str">
            <v>Printing, publishing and media</v>
          </cell>
        </row>
        <row r="45">
          <cell r="G45" t="str">
            <v>Laboratories</v>
          </cell>
        </row>
        <row r="46">
          <cell r="G46" t="str">
            <v>Health services</v>
          </cell>
        </row>
        <row r="47">
          <cell r="G47" t="str">
            <v>Kindergartens and schools and colleges</v>
          </cell>
        </row>
        <row r="48">
          <cell r="G48" t="str">
            <v>Governmental and private schools girls</v>
          </cell>
        </row>
        <row r="49">
          <cell r="G49" t="str">
            <v>Governmental and private schools Benin</v>
          </cell>
        </row>
        <row r="50">
          <cell r="G50" t="str">
            <v>Foreign schools</v>
          </cell>
        </row>
        <row r="51">
          <cell r="G51" t="str">
            <v>Security escorts</v>
          </cell>
        </row>
        <row r="52">
          <cell r="G52" t="str">
            <v>Private employment offices</v>
          </cell>
        </row>
        <row r="53">
          <cell r="G53" t="str">
            <v>Kindergarten</v>
          </cell>
        </row>
        <row r="54">
          <cell r="G54" t="str">
            <v>Bakeries and bread trade</v>
          </cell>
        </row>
        <row r="55">
          <cell r="G55" t="str">
            <v>Ready-mixed concrete</v>
          </cell>
        </row>
        <row r="56">
          <cell r="G56" t="str">
            <v>Information Technology</v>
          </cell>
        </row>
      </sheetData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ition Master"/>
      <sheetName val="Employeemaster working file"/>
      <sheetName val="NCC TD revised job master list"/>
      <sheetName val="group job master list"/>
      <sheetName val="Menu"/>
    </sheetNames>
    <sheetDataSet>
      <sheetData sheetId="0"/>
      <sheetData sheetId="1"/>
      <sheetData sheetId="2"/>
      <sheetData sheetId="3">
        <row r="2">
          <cell r="B2" t="str">
            <v>Account - Senior - Executive</v>
          </cell>
        </row>
        <row r="3">
          <cell r="B3" t="str">
            <v>Accountant</v>
          </cell>
        </row>
        <row r="4">
          <cell r="B4" t="str">
            <v>Accountant - Administrator</v>
          </cell>
        </row>
        <row r="5">
          <cell r="B5" t="str">
            <v>Accountant - Administrator - Assistant</v>
          </cell>
        </row>
        <row r="6">
          <cell r="B6" t="str">
            <v>Accountant - Administrator - Senior</v>
          </cell>
        </row>
        <row r="7">
          <cell r="B7" t="str">
            <v>Accountant - Chief Cashier</v>
          </cell>
        </row>
        <row r="8">
          <cell r="B8" t="str">
            <v>Accountant - Deputy</v>
          </cell>
        </row>
        <row r="9">
          <cell r="B9" t="str">
            <v>Accountant - Junior</v>
          </cell>
        </row>
        <row r="10">
          <cell r="B10" t="str">
            <v>Accountant - Management</v>
          </cell>
        </row>
        <row r="11">
          <cell r="B11" t="str">
            <v>Accountant - Projects</v>
          </cell>
        </row>
        <row r="12">
          <cell r="B12" t="str">
            <v>Accountant - Senior</v>
          </cell>
        </row>
        <row r="13">
          <cell r="B13" t="str">
            <v>Accountant - Site</v>
          </cell>
        </row>
        <row r="14">
          <cell r="B14" t="str">
            <v>Accounts - Assistant</v>
          </cell>
        </row>
        <row r="15">
          <cell r="B15" t="str">
            <v>Accounts - Executive</v>
          </cell>
        </row>
        <row r="16">
          <cell r="B16" t="str">
            <v>Accounts - Officer</v>
          </cell>
        </row>
        <row r="17">
          <cell r="B17" t="str">
            <v>Accounts - Senior - Assistant</v>
          </cell>
        </row>
        <row r="18">
          <cell r="B18" t="str">
            <v>Accounts - Senior - Officer</v>
          </cell>
        </row>
        <row r="19">
          <cell r="B19" t="str">
            <v>Accounts - Trainee</v>
          </cell>
        </row>
        <row r="20">
          <cell r="B20" t="str">
            <v>Accounts Executive - Internal Audit</v>
          </cell>
        </row>
        <row r="21">
          <cell r="B21" t="str">
            <v>Administration Assistant</v>
          </cell>
        </row>
        <row r="22">
          <cell r="B22" t="str">
            <v>Administrator</v>
          </cell>
        </row>
        <row r="23">
          <cell r="B23" t="str">
            <v>Administrator - Account</v>
          </cell>
        </row>
        <row r="24">
          <cell r="B24" t="str">
            <v>Administrator - Assistant</v>
          </cell>
        </row>
        <row r="25">
          <cell r="B25" t="str">
            <v>Administrator - Contract Planning</v>
          </cell>
        </row>
        <row r="26">
          <cell r="B26" t="str">
            <v>Administrator - Junior - Information Technology Systems</v>
          </cell>
        </row>
        <row r="27">
          <cell r="B27" t="str">
            <v>Administrator - Projects</v>
          </cell>
        </row>
        <row r="28">
          <cell r="B28" t="str">
            <v>Administrator - Senior</v>
          </cell>
        </row>
        <row r="29">
          <cell r="B29" t="str">
            <v>Application Developer - Enterprise Resource Planning</v>
          </cell>
        </row>
        <row r="30">
          <cell r="B30" t="str">
            <v>Architect</v>
          </cell>
        </row>
        <row r="31">
          <cell r="B31" t="str">
            <v>Architect - Computer Aided Design</v>
          </cell>
        </row>
        <row r="32">
          <cell r="B32" t="str">
            <v>Architect - Design</v>
          </cell>
        </row>
        <row r="33">
          <cell r="B33" t="str">
            <v>Architect - Field</v>
          </cell>
        </row>
        <row r="34">
          <cell r="B34" t="str">
            <v>Architect - Junior</v>
          </cell>
        </row>
        <row r="35">
          <cell r="B35" t="str">
            <v>Architect - Landscape</v>
          </cell>
        </row>
        <row r="36">
          <cell r="B36" t="str">
            <v>Architect - Senior</v>
          </cell>
        </row>
        <row r="37">
          <cell r="B37" t="str">
            <v>Architect - Senior - Design</v>
          </cell>
        </row>
        <row r="38">
          <cell r="B38" t="str">
            <v>Architectural - Trainee</v>
          </cell>
        </row>
        <row r="39">
          <cell r="B39" t="str">
            <v>Assistant Accountant</v>
          </cell>
        </row>
        <row r="40">
          <cell r="B40" t="str">
            <v>Assistant Electrician</v>
          </cell>
        </row>
        <row r="41">
          <cell r="B41" t="str">
            <v>Assistant Fitter</v>
          </cell>
        </row>
        <row r="42">
          <cell r="B42" t="str">
            <v>Assistant Inspector</v>
          </cell>
        </row>
        <row r="43">
          <cell r="B43" t="str">
            <v>Assistant Manager Planning</v>
          </cell>
        </row>
        <row r="44">
          <cell r="B44" t="str">
            <v>Assistant Mechanic</v>
          </cell>
        </row>
        <row r="45">
          <cell r="B45" t="str">
            <v>Assistant Off. Coordinator</v>
          </cell>
        </row>
        <row r="46">
          <cell r="B46" t="str">
            <v>Assistant Safety Foreman</v>
          </cell>
        </row>
        <row r="47">
          <cell r="B47" t="str">
            <v>Assistant Storekeeper</v>
          </cell>
        </row>
        <row r="48">
          <cell r="B48" t="str">
            <v>Assistant Technician</v>
          </cell>
        </row>
        <row r="49">
          <cell r="B49" t="str">
            <v>Assistant to - Administration</v>
          </cell>
        </row>
        <row r="50">
          <cell r="B50" t="str">
            <v>Assistant to - Administration - Junior</v>
          </cell>
        </row>
        <row r="51">
          <cell r="B51" t="str">
            <v>Assistant to - Administration - Senior</v>
          </cell>
        </row>
        <row r="52">
          <cell r="B52" t="str">
            <v>Assistant to - Administration Officer</v>
          </cell>
        </row>
        <row r="53">
          <cell r="B53" t="str">
            <v>Assistant to - Buyers</v>
          </cell>
        </row>
        <row r="54">
          <cell r="B54" t="str">
            <v>Assistant to - Commercial Manager</v>
          </cell>
        </row>
        <row r="55">
          <cell r="B55" t="str">
            <v>Assistant to - Design</v>
          </cell>
        </row>
        <row r="56">
          <cell r="B56" t="str">
            <v>Assistant to - Field</v>
          </cell>
        </row>
        <row r="57">
          <cell r="B57" t="str">
            <v>Assistant to - Group General Manager</v>
          </cell>
        </row>
        <row r="58">
          <cell r="B58" t="str">
            <v>Assistant to - Human Resources</v>
          </cell>
        </row>
        <row r="59">
          <cell r="B59" t="str">
            <v>Assistant to - Legal</v>
          </cell>
        </row>
        <row r="60">
          <cell r="B60" t="str">
            <v>Assistant to - Office</v>
          </cell>
        </row>
        <row r="61">
          <cell r="B61" t="str">
            <v>Assistant to - Office - Junior</v>
          </cell>
        </row>
        <row r="62">
          <cell r="B62" t="str">
            <v>Assistant to - Office/Driver</v>
          </cell>
        </row>
        <row r="63">
          <cell r="B63" t="str">
            <v>Assistant to - Office/Office Boy</v>
          </cell>
        </row>
        <row r="64">
          <cell r="B64" t="str">
            <v>Assistant to - Office/Secretary</v>
          </cell>
        </row>
        <row r="65">
          <cell r="B65" t="str">
            <v>Assistant to - Operations</v>
          </cell>
        </row>
        <row r="66">
          <cell r="B66" t="str">
            <v>Assistant to - Planning</v>
          </cell>
        </row>
        <row r="67">
          <cell r="B67" t="str">
            <v>Assistant to - Planning - Senior</v>
          </cell>
        </row>
        <row r="68">
          <cell r="B68" t="str">
            <v>Assistant to - Projects</v>
          </cell>
        </row>
        <row r="69">
          <cell r="B69" t="str">
            <v>Assistant to - Projects - Administration</v>
          </cell>
        </row>
        <row r="70">
          <cell r="B70" t="str">
            <v>Assistant to - Projects - Commercial</v>
          </cell>
        </row>
        <row r="71">
          <cell r="B71" t="str">
            <v>Assistant to - Projects - Technical</v>
          </cell>
        </row>
        <row r="72">
          <cell r="B72" t="str">
            <v>Assistant to - Safety</v>
          </cell>
        </row>
        <row r="73">
          <cell r="B73" t="str">
            <v>Assistant to - Scaffolder</v>
          </cell>
        </row>
        <row r="74">
          <cell r="B74" t="str">
            <v>Assistant to - Site</v>
          </cell>
        </row>
        <row r="75">
          <cell r="B75" t="str">
            <v>Assistant to - Store</v>
          </cell>
        </row>
        <row r="76">
          <cell r="B76" t="str">
            <v>Assistant to - Stores - Junior</v>
          </cell>
        </row>
        <row r="77">
          <cell r="B77" t="str">
            <v>Assistant to - Technical</v>
          </cell>
        </row>
        <row r="78">
          <cell r="B78" t="str">
            <v>Assistant to - Tendering</v>
          </cell>
        </row>
        <row r="79">
          <cell r="B79" t="str">
            <v>Assistant Welder</v>
          </cell>
        </row>
        <row r="80">
          <cell r="B80" t="str">
            <v>Attendant - Camp</v>
          </cell>
        </row>
        <row r="81">
          <cell r="B81" t="str">
            <v>Attendant - Gate</v>
          </cell>
        </row>
        <row r="82">
          <cell r="B82" t="str">
            <v>Attendant - Library</v>
          </cell>
        </row>
        <row r="83">
          <cell r="B83" t="str">
            <v>Attendant - Pool</v>
          </cell>
        </row>
        <row r="84">
          <cell r="B84" t="str">
            <v>Attendant - Recreation</v>
          </cell>
        </row>
        <row r="85">
          <cell r="B85" t="str">
            <v>Attendant - Senior - Camp</v>
          </cell>
        </row>
        <row r="86">
          <cell r="B86" t="str">
            <v>Attendant - Weight Room</v>
          </cell>
        </row>
        <row r="87">
          <cell r="B87" t="str">
            <v>Auditor</v>
          </cell>
        </row>
        <row r="88">
          <cell r="B88" t="str">
            <v>Baker</v>
          </cell>
        </row>
        <row r="89">
          <cell r="B89" t="str">
            <v>Ball Picker</v>
          </cell>
        </row>
        <row r="90">
          <cell r="B90" t="str">
            <v>Barber</v>
          </cell>
        </row>
        <row r="91">
          <cell r="B91" t="str">
            <v>Barber - Assistant</v>
          </cell>
        </row>
        <row r="92">
          <cell r="B92" t="str">
            <v>Barista</v>
          </cell>
        </row>
        <row r="93">
          <cell r="B93" t="str">
            <v>Bill Collector</v>
          </cell>
        </row>
        <row r="94">
          <cell r="B94" t="str">
            <v>Branch Head</v>
          </cell>
        </row>
        <row r="95">
          <cell r="B95" t="str">
            <v>Building Maintenance Inspector</v>
          </cell>
        </row>
        <row r="96">
          <cell r="B96" t="str">
            <v>Busboy</v>
          </cell>
        </row>
        <row r="97">
          <cell r="B97" t="str">
            <v>Butcher</v>
          </cell>
        </row>
        <row r="98">
          <cell r="B98" t="str">
            <v>Buyer</v>
          </cell>
        </row>
        <row r="99">
          <cell r="B99" t="str">
            <v>Buyer - Senior</v>
          </cell>
        </row>
        <row r="100">
          <cell r="B100" t="str">
            <v>Cable Jointer</v>
          </cell>
        </row>
        <row r="101">
          <cell r="B101" t="str">
            <v>Cable Puller</v>
          </cell>
        </row>
        <row r="102">
          <cell r="B102" t="str">
            <v>Camp Boss</v>
          </cell>
        </row>
        <row r="103">
          <cell r="B103" t="str">
            <v>Carpenter</v>
          </cell>
        </row>
        <row r="104">
          <cell r="B104" t="str">
            <v>Carpenter - Assistant</v>
          </cell>
        </row>
        <row r="105">
          <cell r="B105" t="str">
            <v>Carpenter - Finishing</v>
          </cell>
        </row>
        <row r="106">
          <cell r="B106" t="str">
            <v>Carpenter - Furniture</v>
          </cell>
        </row>
        <row r="107">
          <cell r="B107" t="str">
            <v>Carpenter - Shuttering</v>
          </cell>
        </row>
        <row r="108">
          <cell r="B108" t="str">
            <v>Carpenter / Light Vehicle Driver</v>
          </cell>
        </row>
        <row r="109">
          <cell r="B109" t="str">
            <v>Carpenter / Mason</v>
          </cell>
        </row>
        <row r="110">
          <cell r="B110" t="str">
            <v>Carpenter / Painter</v>
          </cell>
        </row>
        <row r="111">
          <cell r="B111" t="str">
            <v>Carpet Layer</v>
          </cell>
        </row>
        <row r="112">
          <cell r="B112" t="str">
            <v>Cash Courier</v>
          </cell>
        </row>
        <row r="113">
          <cell r="B113" t="str">
            <v>Cashier</v>
          </cell>
        </row>
        <row r="114">
          <cell r="B114" t="str">
            <v>Cashier - Senior</v>
          </cell>
        </row>
        <row r="115">
          <cell r="B115" t="str">
            <v>Chargehand</v>
          </cell>
        </row>
        <row r="116">
          <cell r="B116" t="str">
            <v>Chargehand - Air Conditioning</v>
          </cell>
        </row>
        <row r="117">
          <cell r="B117" t="str">
            <v>Checker - Contract</v>
          </cell>
        </row>
        <row r="118">
          <cell r="B118" t="str">
            <v>Chef - Assistant</v>
          </cell>
        </row>
        <row r="119">
          <cell r="B119" t="str">
            <v>Chef - Cold Kichen</v>
          </cell>
        </row>
        <row r="120">
          <cell r="B120" t="str">
            <v>Chef - Executive</v>
          </cell>
        </row>
        <row r="121">
          <cell r="B121" t="str">
            <v>Chef - Head</v>
          </cell>
        </row>
        <row r="122">
          <cell r="B122" t="str">
            <v>Chef - Head - Assistant</v>
          </cell>
        </row>
        <row r="123">
          <cell r="B123" t="str">
            <v>Chef - Pastry</v>
          </cell>
        </row>
        <row r="124">
          <cell r="B124" t="str">
            <v>Chef - Sous</v>
          </cell>
        </row>
        <row r="125">
          <cell r="B125" t="str">
            <v>Chef / Camp Boss</v>
          </cell>
        </row>
        <row r="126">
          <cell r="B126" t="str">
            <v>Chef De Partie</v>
          </cell>
        </row>
        <row r="127">
          <cell r="B127" t="str">
            <v>Chef De Partie - Arabic</v>
          </cell>
        </row>
        <row r="128">
          <cell r="B128" t="str">
            <v>Chef De Partie - Pastry</v>
          </cell>
        </row>
        <row r="129">
          <cell r="B129" t="str">
            <v>Chef de Partie - Senior</v>
          </cell>
        </row>
        <row r="130">
          <cell r="B130" t="str">
            <v>Chemist</v>
          </cell>
        </row>
        <row r="131">
          <cell r="B131" t="str">
            <v>Chief Architect</v>
          </cell>
        </row>
        <row r="132">
          <cell r="B132" t="str">
            <v>Chief Executive Officer</v>
          </cell>
        </row>
        <row r="133">
          <cell r="B133" t="str">
            <v>Civil Tech</v>
          </cell>
        </row>
        <row r="134">
          <cell r="B134" t="str">
            <v>Clerk</v>
          </cell>
        </row>
        <row r="135">
          <cell r="B135" t="str">
            <v>Clerk - Administration</v>
          </cell>
        </row>
        <row r="136">
          <cell r="B136" t="str">
            <v>Clerk - Assistant</v>
          </cell>
        </row>
        <row r="137">
          <cell r="B137" t="str">
            <v>Clerk - Commissary</v>
          </cell>
        </row>
        <row r="138">
          <cell r="B138" t="str">
            <v>Clerk - Computer</v>
          </cell>
        </row>
        <row r="139">
          <cell r="B139" t="str">
            <v>Clerk - Data Entry</v>
          </cell>
        </row>
        <row r="140">
          <cell r="B140" t="str">
            <v>Clerk - Dining Hall</v>
          </cell>
        </row>
        <row r="141">
          <cell r="B141" t="str">
            <v>Clerk - Document Handling</v>
          </cell>
        </row>
        <row r="142">
          <cell r="B142" t="str">
            <v>Clerk - Documentation</v>
          </cell>
        </row>
        <row r="143">
          <cell r="B143" t="str">
            <v>Clerk - Human Resources</v>
          </cell>
        </row>
        <row r="144">
          <cell r="B144" t="str">
            <v>Clerk - Immigration</v>
          </cell>
        </row>
        <row r="145">
          <cell r="B145" t="str">
            <v>Clerk - Material</v>
          </cell>
        </row>
        <row r="146">
          <cell r="B146" t="str">
            <v>Clerk - Material Expediter</v>
          </cell>
        </row>
        <row r="147">
          <cell r="B147" t="str">
            <v>Clerk - Office</v>
          </cell>
        </row>
        <row r="148">
          <cell r="B148" t="str">
            <v>Clerk - Postal</v>
          </cell>
        </row>
        <row r="149">
          <cell r="B149" t="str">
            <v>Clerk - Postal/Receiving Checker</v>
          </cell>
        </row>
        <row r="150">
          <cell r="B150" t="str">
            <v>Clerk - Reception</v>
          </cell>
        </row>
        <row r="151">
          <cell r="B151" t="str">
            <v>Clerk - Scheduler</v>
          </cell>
        </row>
        <row r="152">
          <cell r="B152" t="str">
            <v>Clerk - Senior</v>
          </cell>
        </row>
        <row r="153">
          <cell r="B153" t="str">
            <v>Clerk - Store</v>
          </cell>
        </row>
        <row r="154">
          <cell r="B154" t="str">
            <v>Clerk - Typist</v>
          </cell>
        </row>
        <row r="155">
          <cell r="B155" t="str">
            <v>Clerk / Driver</v>
          </cell>
        </row>
        <row r="156">
          <cell r="B156" t="str">
            <v>Coach Fitness</v>
          </cell>
        </row>
        <row r="157">
          <cell r="B157" t="str">
            <v>Computer Aided Design - Designer</v>
          </cell>
        </row>
        <row r="158">
          <cell r="B158" t="str">
            <v>Computer Programmer</v>
          </cell>
        </row>
        <row r="159">
          <cell r="B159" t="str">
            <v>Computer Specialist - Torque Turn</v>
          </cell>
        </row>
        <row r="160">
          <cell r="B160" t="str">
            <v>Consultant</v>
          </cell>
        </row>
        <row r="161">
          <cell r="B161" t="str">
            <v>Consultant - Business Improvement</v>
          </cell>
        </row>
        <row r="162">
          <cell r="B162" t="str">
            <v>Consultant - Configurable Networking Computing</v>
          </cell>
        </row>
        <row r="163">
          <cell r="B163" t="str">
            <v>Consultant - Continuous Improvement</v>
          </cell>
        </row>
        <row r="164">
          <cell r="B164" t="str">
            <v>Consultant Functional -Junior -Enterprise Resource Planning</v>
          </cell>
        </row>
        <row r="165">
          <cell r="B165" t="str">
            <v>Consultant Functional -Senior -Enterprise Resource Planning</v>
          </cell>
        </row>
        <row r="166">
          <cell r="B166" t="str">
            <v>Cook</v>
          </cell>
        </row>
        <row r="167">
          <cell r="B167" t="str">
            <v>Cook - Arabic</v>
          </cell>
        </row>
        <row r="168">
          <cell r="B168" t="str">
            <v>Cook - Assistant</v>
          </cell>
        </row>
        <row r="169">
          <cell r="B169" t="str">
            <v>Cook - Assistant - Continental</v>
          </cell>
        </row>
        <row r="170">
          <cell r="B170" t="str">
            <v>Cook - Assistant - Filipino</v>
          </cell>
        </row>
        <row r="171">
          <cell r="B171" t="str">
            <v>Cook - Assistant - Oriental</v>
          </cell>
        </row>
        <row r="172">
          <cell r="B172" t="str">
            <v>Cook - Assistant - Pastry</v>
          </cell>
        </row>
        <row r="173">
          <cell r="B173" t="str">
            <v>Cook - Chapatti Maker</v>
          </cell>
        </row>
        <row r="174">
          <cell r="B174" t="str">
            <v>Cook - Continental</v>
          </cell>
        </row>
        <row r="175">
          <cell r="B175" t="str">
            <v>Cook - Filipino</v>
          </cell>
        </row>
        <row r="176">
          <cell r="B176" t="str">
            <v>Cook - Head</v>
          </cell>
        </row>
        <row r="177">
          <cell r="B177" t="str">
            <v>Cook - Indian</v>
          </cell>
        </row>
        <row r="178">
          <cell r="B178" t="str">
            <v>Cook - Japanese</v>
          </cell>
        </row>
        <row r="179">
          <cell r="B179" t="str">
            <v>Cook - Junior</v>
          </cell>
        </row>
        <row r="180">
          <cell r="B180" t="str">
            <v>Cook - Korean</v>
          </cell>
        </row>
        <row r="181">
          <cell r="B181" t="str">
            <v>Cook - Pakistani</v>
          </cell>
        </row>
        <row r="182">
          <cell r="B182" t="str">
            <v>Cook - Pastry</v>
          </cell>
        </row>
        <row r="183">
          <cell r="B183" t="str">
            <v>Cook - Senior</v>
          </cell>
        </row>
        <row r="184">
          <cell r="B184" t="str">
            <v>Cook - Tandoori</v>
          </cell>
        </row>
        <row r="185">
          <cell r="B185" t="str">
            <v>Coordinator</v>
          </cell>
        </row>
        <row r="186">
          <cell r="B186" t="str">
            <v>Coordinator - Administration</v>
          </cell>
        </row>
        <row r="187">
          <cell r="B187" t="str">
            <v>Coordinator - Assistant - Administration</v>
          </cell>
        </row>
        <row r="188">
          <cell r="B188" t="str">
            <v>Coordinator - Banquet</v>
          </cell>
        </row>
        <row r="189">
          <cell r="B189" t="str">
            <v>Coordinator - Computer Aided Design</v>
          </cell>
        </row>
        <row r="190">
          <cell r="B190" t="str">
            <v>Coordinator - Customer Service</v>
          </cell>
        </row>
        <row r="191">
          <cell r="B191" t="str">
            <v>Coordinator - Human Resources</v>
          </cell>
        </row>
        <row r="192">
          <cell r="B192" t="str">
            <v>Coordinator - Junior - Travel and Reservation</v>
          </cell>
        </row>
        <row r="193">
          <cell r="B193" t="str">
            <v>Coordinator - Logistics</v>
          </cell>
        </row>
        <row r="194">
          <cell r="B194" t="str">
            <v>Coordinator - Marketing</v>
          </cell>
        </row>
        <row r="195">
          <cell r="B195" t="str">
            <v>Coordinator - Operations</v>
          </cell>
        </row>
        <row r="196">
          <cell r="B196" t="str">
            <v>Coordinator - Projects</v>
          </cell>
        </row>
        <row r="197">
          <cell r="B197" t="str">
            <v>Coordinator - Projects Administration</v>
          </cell>
        </row>
        <row r="198">
          <cell r="B198" t="str">
            <v>Coordinator - Proposal</v>
          </cell>
        </row>
        <row r="199">
          <cell r="B199" t="str">
            <v>Coordinator - Purchase</v>
          </cell>
        </row>
        <row r="200">
          <cell r="B200" t="str">
            <v>Coordinator - Quality Assurance</v>
          </cell>
        </row>
        <row r="201">
          <cell r="B201" t="str">
            <v>Coordinator - Safety &amp; Security</v>
          </cell>
        </row>
        <row r="202">
          <cell r="B202" t="str">
            <v>Coordinator - Sales</v>
          </cell>
        </row>
        <row r="203">
          <cell r="B203" t="str">
            <v>Coordinator - Sales &amp; Marketing</v>
          </cell>
        </row>
        <row r="204">
          <cell r="B204" t="str">
            <v>Coordinator - Senior - Administration</v>
          </cell>
        </row>
        <row r="205">
          <cell r="B205" t="str">
            <v>Coordinator - Senior - Projects</v>
          </cell>
        </row>
        <row r="206">
          <cell r="B206" t="str">
            <v>Coordinator - Senior - Sales &amp; Marketing</v>
          </cell>
        </row>
        <row r="207">
          <cell r="B207" t="str">
            <v>Coordinator - Senior Purchase</v>
          </cell>
        </row>
        <row r="208">
          <cell r="B208" t="str">
            <v>Coordinator - Service</v>
          </cell>
        </row>
        <row r="209">
          <cell r="B209" t="str">
            <v>Coordinator - Travel</v>
          </cell>
        </row>
        <row r="210">
          <cell r="B210" t="str">
            <v>Coordinator - Workshop</v>
          </cell>
        </row>
        <row r="211">
          <cell r="B211" t="str">
            <v>Cost Controller</v>
          </cell>
        </row>
        <row r="212">
          <cell r="B212" t="str">
            <v>Crane Operator</v>
          </cell>
        </row>
        <row r="213">
          <cell r="B213" t="str">
            <v>Crew Leader - Senior - Tubular Running Service</v>
          </cell>
        </row>
        <row r="214">
          <cell r="B214" t="str">
            <v>Custom Clearance Representative</v>
          </cell>
        </row>
        <row r="215">
          <cell r="B215" t="str">
            <v>Customs Assistant</v>
          </cell>
        </row>
        <row r="216">
          <cell r="B216" t="str">
            <v>Customs Broker</v>
          </cell>
        </row>
        <row r="217">
          <cell r="B217" t="str">
            <v>Demi Chef de Partie</v>
          </cell>
        </row>
        <row r="218">
          <cell r="B218" t="str">
            <v>Denter</v>
          </cell>
        </row>
        <row r="219">
          <cell r="B219" t="str">
            <v>Denter / Painter</v>
          </cell>
        </row>
        <row r="220">
          <cell r="B220" t="str">
            <v>Developer</v>
          </cell>
        </row>
        <row r="221">
          <cell r="B221" t="str">
            <v>Diesel Attendant</v>
          </cell>
        </row>
        <row r="222">
          <cell r="B222" t="str">
            <v>Director - Branch</v>
          </cell>
        </row>
        <row r="223">
          <cell r="B223" t="str">
            <v>Director - Executive - Engineering &amp; Construction</v>
          </cell>
        </row>
        <row r="224">
          <cell r="B224" t="str">
            <v>Director - Projects</v>
          </cell>
        </row>
        <row r="225">
          <cell r="B225" t="str">
            <v>Dispatcher</v>
          </cell>
        </row>
        <row r="226">
          <cell r="B226" t="str">
            <v>Dispatcher - Transportation</v>
          </cell>
        </row>
        <row r="227">
          <cell r="B227" t="str">
            <v>Doctor</v>
          </cell>
        </row>
        <row r="228">
          <cell r="B228" t="str">
            <v>Document Controller</v>
          </cell>
        </row>
        <row r="229">
          <cell r="B229" t="str">
            <v>Draftsman</v>
          </cell>
        </row>
        <row r="230">
          <cell r="B230" t="str">
            <v>Draftsman - Assistant</v>
          </cell>
        </row>
        <row r="231">
          <cell r="B231" t="str">
            <v>Draftsman - Automatic Computer Aided Design</v>
          </cell>
        </row>
        <row r="232">
          <cell r="B232" t="str">
            <v>Draftsman - Civil</v>
          </cell>
        </row>
        <row r="233">
          <cell r="B233" t="str">
            <v>Draftsman - Civil - Quality Assurance/Quality Control</v>
          </cell>
        </row>
        <row r="234">
          <cell r="B234" t="str">
            <v>Draftsman - Design</v>
          </cell>
        </row>
        <row r="235">
          <cell r="B235" t="str">
            <v>Draftsman - Electrical</v>
          </cell>
        </row>
        <row r="236">
          <cell r="B236" t="str">
            <v>Draftsman - Senior</v>
          </cell>
        </row>
        <row r="237">
          <cell r="B237" t="str">
            <v>Draftsman - Trainee - Civil</v>
          </cell>
        </row>
        <row r="238">
          <cell r="B238" t="str">
            <v>Driver - Crane</v>
          </cell>
        </row>
        <row r="239">
          <cell r="B239" t="str">
            <v>Driver - Heavy Duty Vehicle</v>
          </cell>
        </row>
        <row r="240">
          <cell r="B240" t="str">
            <v>Driver - Heavy Duty Vehicle - Trailer</v>
          </cell>
        </row>
        <row r="241">
          <cell r="B241" t="str">
            <v>Driver - Heavy Goods Vehicle</v>
          </cell>
        </row>
        <row r="242">
          <cell r="B242" t="str">
            <v>Driver - Helper</v>
          </cell>
        </row>
        <row r="243">
          <cell r="B243" t="str">
            <v>Driver - Large Vehicle</v>
          </cell>
        </row>
        <row r="244">
          <cell r="B244" t="str">
            <v>Driver - Light Duty Vehicle</v>
          </cell>
        </row>
        <row r="245">
          <cell r="B245" t="str">
            <v>Driver - Light Duty Vehicle / Cash Courier</v>
          </cell>
        </row>
        <row r="246">
          <cell r="B246" t="str">
            <v>Driver - Light Duty Vehicle / Plumber</v>
          </cell>
        </row>
        <row r="247">
          <cell r="B247" t="str">
            <v>Driver - Light Vehicle</v>
          </cell>
        </row>
        <row r="248">
          <cell r="B248" t="str">
            <v>Driver - Medium Duty Vehicle</v>
          </cell>
        </row>
        <row r="249">
          <cell r="B249" t="str">
            <v>Driver - Senior - Heavy Duty Vehicle</v>
          </cell>
        </row>
        <row r="250">
          <cell r="B250" t="str">
            <v>Driver - Senior - Light Duty Vehicle</v>
          </cell>
        </row>
        <row r="251">
          <cell r="B251" t="str">
            <v>Driver/Purchaser</v>
          </cell>
        </row>
        <row r="252">
          <cell r="B252" t="str">
            <v>EDP Operation Supervisor</v>
          </cell>
        </row>
        <row r="253">
          <cell r="B253" t="str">
            <v>Electrician</v>
          </cell>
        </row>
        <row r="254">
          <cell r="B254" t="str">
            <v>Electrician - Assistant</v>
          </cell>
        </row>
        <row r="255">
          <cell r="B255" t="str">
            <v>Electrician - Auto</v>
          </cell>
        </row>
        <row r="256">
          <cell r="B256" t="str">
            <v>Electrician - Building</v>
          </cell>
        </row>
        <row r="257">
          <cell r="B257" t="str">
            <v>Electrician - Industrial</v>
          </cell>
        </row>
        <row r="258">
          <cell r="B258" t="str">
            <v>Electrician - Junior</v>
          </cell>
        </row>
        <row r="259">
          <cell r="B259" t="str">
            <v>Electrician - Junior - Auto</v>
          </cell>
        </row>
        <row r="260">
          <cell r="B260" t="str">
            <v>Electrician - Maintenance</v>
          </cell>
        </row>
        <row r="261">
          <cell r="B261" t="str">
            <v>Electrician - Senior</v>
          </cell>
        </row>
        <row r="262">
          <cell r="B262" t="str">
            <v>Electrician - Trainee</v>
          </cell>
        </row>
        <row r="263">
          <cell r="B263" t="str">
            <v>Engine Technician</v>
          </cell>
        </row>
        <row r="264">
          <cell r="B264" t="str">
            <v>Engineer</v>
          </cell>
        </row>
        <row r="265">
          <cell r="B265" t="str">
            <v>Engineer - Architect</v>
          </cell>
        </row>
        <row r="266">
          <cell r="B266" t="str">
            <v>Engineer - Architect/Irrigation</v>
          </cell>
        </row>
        <row r="267">
          <cell r="B267" t="str">
            <v>Engineer - Assistant</v>
          </cell>
        </row>
        <row r="268">
          <cell r="B268" t="str">
            <v>Engineer - Assistant - Business Development</v>
          </cell>
        </row>
        <row r="269">
          <cell r="B269" t="str">
            <v>Engineer - Assistant - Design</v>
          </cell>
        </row>
        <row r="270">
          <cell r="B270" t="str">
            <v>Engineer - Assistant - Electrical</v>
          </cell>
        </row>
        <row r="271">
          <cell r="B271" t="str">
            <v>Engineer - Assistant - Instrumentation</v>
          </cell>
        </row>
        <row r="272">
          <cell r="B272" t="str">
            <v>Engineer - Assistant - Mechanical</v>
          </cell>
        </row>
        <row r="273">
          <cell r="B273" t="str">
            <v>Engineer - Assistant - Piping</v>
          </cell>
        </row>
        <row r="274">
          <cell r="B274" t="str">
            <v>Engineer - Assistant - Planning</v>
          </cell>
        </row>
        <row r="275">
          <cell r="B275" t="str">
            <v>Engineer - Assistant - Quality Assurance/Quality Control</v>
          </cell>
        </row>
        <row r="276">
          <cell r="B276" t="str">
            <v>Engineer - Assistant - Resident - Electrical</v>
          </cell>
        </row>
        <row r="277">
          <cell r="B277" t="str">
            <v>Engineer - Assistant - Rotary Equipment</v>
          </cell>
        </row>
        <row r="278">
          <cell r="B278" t="str">
            <v>Engineer - Assistant Planning</v>
          </cell>
        </row>
        <row r="279">
          <cell r="B279" t="str">
            <v>Engineer - Assistant Resident - Mechanical</v>
          </cell>
        </row>
        <row r="280">
          <cell r="B280" t="str">
            <v>Engineer - Auto</v>
          </cell>
        </row>
        <row r="281">
          <cell r="B281" t="str">
            <v>Engineer - Automatic Computer Aided Design</v>
          </cell>
        </row>
        <row r="282">
          <cell r="B282" t="str">
            <v>Engineer - Automatic Computer Aided Design - Electrical</v>
          </cell>
        </row>
        <row r="283">
          <cell r="B283" t="str">
            <v>Engineer - Automatic Computer Aided Design - Mechanical</v>
          </cell>
        </row>
        <row r="284">
          <cell r="B284" t="str">
            <v>Engineer - Business Development</v>
          </cell>
        </row>
        <row r="285">
          <cell r="B285" t="str">
            <v>Engineer - Civil</v>
          </cell>
        </row>
        <row r="286">
          <cell r="B286" t="str">
            <v>Engineer - Civil - Design</v>
          </cell>
        </row>
        <row r="287">
          <cell r="B287" t="str">
            <v>Engineer - Civil - Structural</v>
          </cell>
        </row>
        <row r="288">
          <cell r="B288" t="str">
            <v>Engineer - Civil / Safety Officer</v>
          </cell>
        </row>
        <row r="289">
          <cell r="B289" t="str">
            <v>Engineer - Contracts</v>
          </cell>
        </row>
        <row r="290">
          <cell r="B290" t="str">
            <v>Engineer - Coordination</v>
          </cell>
        </row>
        <row r="291">
          <cell r="B291" t="str">
            <v>Engineer - Design</v>
          </cell>
        </row>
        <row r="292">
          <cell r="B292" t="str">
            <v>Engineer - Design - Control &amp; Instrumentation</v>
          </cell>
        </row>
        <row r="293">
          <cell r="B293" t="str">
            <v>Engineer - Design - Telecom</v>
          </cell>
        </row>
        <row r="294">
          <cell r="B294" t="str">
            <v>Engineer - Electrical</v>
          </cell>
        </row>
        <row r="295">
          <cell r="B295" t="str">
            <v>Engineer - Electrical - Design</v>
          </cell>
        </row>
        <row r="296">
          <cell r="B296" t="str">
            <v>Engineer - Electronic</v>
          </cell>
        </row>
        <row r="297">
          <cell r="B297" t="str">
            <v>Engineer - Estimator</v>
          </cell>
        </row>
        <row r="298">
          <cell r="B298" t="str">
            <v>Engineer - Expediting</v>
          </cell>
        </row>
        <row r="299">
          <cell r="B299" t="str">
            <v>Engineer - Filtration</v>
          </cell>
        </row>
        <row r="300">
          <cell r="B300" t="str">
            <v>Engineer - Fire Detection Alarm</v>
          </cell>
        </row>
        <row r="301">
          <cell r="B301" t="str">
            <v>Engineer - Gas Turbine</v>
          </cell>
        </row>
        <row r="302">
          <cell r="B302" t="str">
            <v>Engineer - Gas Turbine Quality</v>
          </cell>
        </row>
        <row r="303">
          <cell r="B303" t="str">
            <v>Engineer - Heat Ventilation and Air Conditioning</v>
          </cell>
        </row>
        <row r="304">
          <cell r="B304" t="str">
            <v>Engineer - Instrumentation</v>
          </cell>
        </row>
        <row r="305">
          <cell r="B305" t="str">
            <v>Engineer - Junior</v>
          </cell>
        </row>
        <row r="306">
          <cell r="B306" t="str">
            <v>Engineer - Junior - Civil</v>
          </cell>
        </row>
        <row r="307">
          <cell r="B307" t="str">
            <v>Engineer - Junior - Communication</v>
          </cell>
        </row>
        <row r="308">
          <cell r="B308" t="str">
            <v>Engineer - Junior - Electrical</v>
          </cell>
        </row>
        <row r="309">
          <cell r="B309" t="str">
            <v>Engineer - Junior - Information Technology Technical Support</v>
          </cell>
        </row>
        <row r="310">
          <cell r="B310" t="str">
            <v>Engineer - Junior - Instrumentation</v>
          </cell>
        </row>
        <row r="311">
          <cell r="B311" t="str">
            <v>Engineer - Junior - Mechanical</v>
          </cell>
        </row>
        <row r="312">
          <cell r="B312" t="str">
            <v>Engineer - Junior - Piping</v>
          </cell>
        </row>
        <row r="313">
          <cell r="B313" t="str">
            <v>Engineer - Junior - Planning</v>
          </cell>
        </row>
        <row r="314">
          <cell r="B314" t="str">
            <v>Engineer - Junior - Procurement</v>
          </cell>
        </row>
        <row r="315">
          <cell r="B315" t="str">
            <v>Engineer - Junior - Projects - Civil</v>
          </cell>
        </row>
        <row r="316">
          <cell r="B316" t="str">
            <v>Engineer - Junior - Projects - Electrical</v>
          </cell>
        </row>
        <row r="317">
          <cell r="B317" t="str">
            <v>Engineer - Junior - Projects - Mechanical</v>
          </cell>
        </row>
        <row r="318">
          <cell r="B318" t="str">
            <v>Engineer - Junior - Quality Assurance/Quality Control</v>
          </cell>
        </row>
        <row r="319">
          <cell r="B319" t="str">
            <v>Engineer - Junior - Technical</v>
          </cell>
        </row>
        <row r="320">
          <cell r="B320" t="str">
            <v>Engineer - Junior - Technical Support</v>
          </cell>
        </row>
        <row r="321">
          <cell r="B321" t="str">
            <v>Engineer - Laboratory</v>
          </cell>
        </row>
        <row r="322">
          <cell r="B322" t="str">
            <v>Engineer - Landscape</v>
          </cell>
        </row>
        <row r="323">
          <cell r="B323" t="str">
            <v>Engineer - Lead</v>
          </cell>
        </row>
        <row r="324">
          <cell r="B324" t="str">
            <v>Engineer - Lead Design</v>
          </cell>
        </row>
        <row r="325">
          <cell r="B325" t="str">
            <v>Engineer - Lead Electrical</v>
          </cell>
        </row>
        <row r="326">
          <cell r="B326" t="str">
            <v>Engineer - Lead Mechanical</v>
          </cell>
        </row>
        <row r="327">
          <cell r="B327" t="str">
            <v>Engineer - Maintenance</v>
          </cell>
        </row>
        <row r="328">
          <cell r="B328" t="str">
            <v>Engineer - Marketing</v>
          </cell>
        </row>
        <row r="329">
          <cell r="B329" t="str">
            <v>Engineer - Mechanical</v>
          </cell>
        </row>
        <row r="330">
          <cell r="B330" t="str">
            <v>Engineer - Mechanical - Design</v>
          </cell>
        </row>
        <row r="331">
          <cell r="B331" t="str">
            <v>Engineer - Mechanical/Irrigation</v>
          </cell>
        </row>
        <row r="332">
          <cell r="B332" t="str">
            <v>Engineer - Network</v>
          </cell>
        </row>
        <row r="333">
          <cell r="B333" t="str">
            <v>Engineer - Piping</v>
          </cell>
        </row>
        <row r="334">
          <cell r="B334" t="str">
            <v>Engineer - Piping - Design</v>
          </cell>
        </row>
        <row r="335">
          <cell r="B335" t="str">
            <v>Engineer - Piping / Stress</v>
          </cell>
        </row>
        <row r="336">
          <cell r="B336" t="str">
            <v>Engineer - Planning</v>
          </cell>
        </row>
        <row r="337">
          <cell r="B337" t="str">
            <v>Engineer - Plant</v>
          </cell>
        </row>
        <row r="338">
          <cell r="B338" t="str">
            <v>Engineer - Production</v>
          </cell>
        </row>
        <row r="339">
          <cell r="B339" t="str">
            <v>Engineer - Projects</v>
          </cell>
        </row>
        <row r="340">
          <cell r="B340" t="str">
            <v>Engineer - Projects - Civil</v>
          </cell>
        </row>
        <row r="341">
          <cell r="B341" t="str">
            <v>Engineer - Projects - Control &amp; Instrumentation</v>
          </cell>
        </row>
        <row r="342">
          <cell r="B342" t="str">
            <v>Engineer - Projects - Electrical</v>
          </cell>
        </row>
        <row r="343">
          <cell r="B343" t="str">
            <v>Engineer - Projects - Electrical &amp; Controls</v>
          </cell>
        </row>
        <row r="344">
          <cell r="B344" t="str">
            <v>Engineer - Projects - Mechanical</v>
          </cell>
        </row>
        <row r="345">
          <cell r="B345" t="str">
            <v>Engineer - Projects - Testing &amp; Comissioning</v>
          </cell>
        </row>
        <row r="346">
          <cell r="B346" t="str">
            <v>Engineer - Quality Assurance/Quality Control</v>
          </cell>
        </row>
        <row r="347">
          <cell r="B347" t="str">
            <v>Engineer - Quality Control</v>
          </cell>
        </row>
        <row r="348">
          <cell r="B348" t="str">
            <v>Engineer - Quantity Surveyor</v>
          </cell>
        </row>
        <row r="349">
          <cell r="B349" t="str">
            <v>Engineer - Resident</v>
          </cell>
        </row>
        <row r="350">
          <cell r="B350" t="str">
            <v>Engineer - Safety</v>
          </cell>
        </row>
        <row r="351">
          <cell r="B351" t="str">
            <v>Engineer - Safety &amp; Maintenance</v>
          </cell>
        </row>
        <row r="352">
          <cell r="B352" t="str">
            <v>Engineer - Sales</v>
          </cell>
        </row>
        <row r="353">
          <cell r="B353" t="str">
            <v>Engineer - Sales &amp; Business Development</v>
          </cell>
        </row>
        <row r="354">
          <cell r="B354" t="str">
            <v>Engineer - Sales &amp; Marketing</v>
          </cell>
        </row>
        <row r="355">
          <cell r="B355" t="str">
            <v>Engineer - Senior</v>
          </cell>
        </row>
        <row r="356">
          <cell r="B356" t="str">
            <v>Engineer - Senior - Civil</v>
          </cell>
        </row>
        <row r="357">
          <cell r="B357" t="str">
            <v>Engineer - Senior - Computer Aided Design</v>
          </cell>
        </row>
        <row r="358">
          <cell r="B358" t="str">
            <v>Engineer - Senior - Contracts</v>
          </cell>
        </row>
        <row r="359">
          <cell r="B359" t="str">
            <v>Engineer - Senior - Control &amp; Instrumentation</v>
          </cell>
        </row>
        <row r="360">
          <cell r="B360" t="str">
            <v>Engineer - Senior - Design</v>
          </cell>
        </row>
        <row r="361">
          <cell r="B361" t="str">
            <v>Engineer - Senior - Electrical</v>
          </cell>
        </row>
        <row r="362">
          <cell r="B362" t="str">
            <v>Engineer - Senior - Estimator</v>
          </cell>
        </row>
        <row r="363">
          <cell r="B363" t="str">
            <v>Engineer - Senior - Instrumentation</v>
          </cell>
        </row>
        <row r="364">
          <cell r="B364" t="str">
            <v>Engineer - Senior - Instrumentation &amp; Testing</v>
          </cell>
        </row>
        <row r="365">
          <cell r="B365" t="str">
            <v>Engineer - Senior - Lead</v>
          </cell>
        </row>
        <row r="366">
          <cell r="B366" t="str">
            <v>Engineer - Senior - Maintenance</v>
          </cell>
        </row>
        <row r="367">
          <cell r="B367" t="str">
            <v>Engineer - Senior - Mechanical</v>
          </cell>
        </row>
        <row r="368">
          <cell r="B368" t="str">
            <v>Engineer - Senior - Piping</v>
          </cell>
        </row>
        <row r="369">
          <cell r="B369" t="str">
            <v>Engineer - Senior - Planning</v>
          </cell>
        </row>
        <row r="370">
          <cell r="B370" t="str">
            <v>Engineer - Senior - Procurement</v>
          </cell>
        </row>
        <row r="371">
          <cell r="B371" t="str">
            <v>Engineer - Senior - Projects</v>
          </cell>
        </row>
        <row r="372">
          <cell r="B372" t="str">
            <v>Engineer - Senior - Projects - Civil</v>
          </cell>
        </row>
        <row r="373">
          <cell r="B373" t="str">
            <v>Engineer - Senior - Projects - Control &amp; Instrumentation</v>
          </cell>
        </row>
        <row r="374">
          <cell r="B374" t="str">
            <v>Engineer - Senior - Projects - Electrical</v>
          </cell>
        </row>
        <row r="375">
          <cell r="B375" t="str">
            <v>Engineer - Senior - Projects - Mechanical</v>
          </cell>
        </row>
        <row r="376">
          <cell r="B376" t="str">
            <v>Engineer - Senior - Projects - Testing &amp; Commissioning</v>
          </cell>
        </row>
        <row r="377">
          <cell r="B377" t="str">
            <v>Engineer - Senior - Proposals</v>
          </cell>
        </row>
        <row r="378">
          <cell r="B378" t="str">
            <v>Engineer - Senior - Protection</v>
          </cell>
        </row>
        <row r="379">
          <cell r="B379" t="str">
            <v>Engineer - Senior - Purchase</v>
          </cell>
        </row>
        <row r="380">
          <cell r="B380" t="str">
            <v>Engineer - Senior - Quality Assurance/Quality Control</v>
          </cell>
        </row>
        <row r="381">
          <cell r="B381" t="str">
            <v>Engineer - Senior - Rotary Equipments</v>
          </cell>
        </row>
        <row r="382">
          <cell r="B382" t="str">
            <v>Engineer - Senior - Sales</v>
          </cell>
        </row>
        <row r="383">
          <cell r="B383" t="str">
            <v>Engineer - Senior - Sales &amp; Marketing</v>
          </cell>
        </row>
        <row r="384">
          <cell r="B384" t="str">
            <v>Engineer - Senior - Structural</v>
          </cell>
        </row>
        <row r="385">
          <cell r="B385" t="str">
            <v>Engineer - Senior - Supervisor</v>
          </cell>
        </row>
        <row r="386">
          <cell r="B386" t="str">
            <v>Engineer - Senior - Telecom</v>
          </cell>
        </row>
        <row r="387">
          <cell r="B387" t="str">
            <v>Engineer - Senior - Testing &amp; Commissioning</v>
          </cell>
        </row>
        <row r="388">
          <cell r="B388" t="str">
            <v>Engineer - Senior - Testing Electrical</v>
          </cell>
        </row>
        <row r="389">
          <cell r="B389" t="str">
            <v>Engineer - Service</v>
          </cell>
        </row>
        <row r="390">
          <cell r="B390" t="str">
            <v>Engineer - Site</v>
          </cell>
        </row>
        <row r="391">
          <cell r="B391" t="str">
            <v>Engineer - Site - Electrical</v>
          </cell>
        </row>
        <row r="392">
          <cell r="B392" t="str">
            <v>Engineer - Supervisor</v>
          </cell>
        </row>
        <row r="393">
          <cell r="B393" t="str">
            <v>Engineer - Survey</v>
          </cell>
        </row>
        <row r="394">
          <cell r="B394" t="str">
            <v>Engineer - Technical Support</v>
          </cell>
        </row>
        <row r="395">
          <cell r="B395" t="str">
            <v>Engineer - Testing - Controls &amp; Instrumentation</v>
          </cell>
        </row>
        <row r="396">
          <cell r="B396" t="str">
            <v>Engineer - Testing &amp; Commissioning</v>
          </cell>
        </row>
        <row r="397">
          <cell r="B397" t="str">
            <v>Engineer - Trainee</v>
          </cell>
        </row>
        <row r="398">
          <cell r="B398" t="str">
            <v>Engineer - Trainee - Electrical</v>
          </cell>
        </row>
        <row r="399">
          <cell r="B399" t="str">
            <v>Engineer - Trainee - Mechanical</v>
          </cell>
        </row>
        <row r="400">
          <cell r="B400" t="str">
            <v>Engineer - Trainee - Piping</v>
          </cell>
        </row>
        <row r="401">
          <cell r="B401" t="str">
            <v>Engineer - Trainee - Quality Assurance - Quality Control</v>
          </cell>
        </row>
        <row r="402">
          <cell r="B402" t="str">
            <v>Engineer - Urban Planning</v>
          </cell>
        </row>
        <row r="403">
          <cell r="B403" t="str">
            <v>Engineer - Warranty</v>
          </cell>
        </row>
        <row r="404">
          <cell r="B404" t="str">
            <v>Entomologist</v>
          </cell>
        </row>
        <row r="405">
          <cell r="B405" t="str">
            <v>Equipment Operator</v>
          </cell>
        </row>
        <row r="406">
          <cell r="B406" t="str">
            <v>Erector</v>
          </cell>
        </row>
        <row r="407">
          <cell r="B407" t="str">
            <v>Estimator</v>
          </cell>
        </row>
        <row r="408">
          <cell r="B408" t="str">
            <v>Estimator - Civil</v>
          </cell>
        </row>
        <row r="409">
          <cell r="B409" t="str">
            <v>Estimator - Electrical</v>
          </cell>
        </row>
        <row r="410">
          <cell r="B410" t="str">
            <v>Estimator - Mechanical</v>
          </cell>
        </row>
        <row r="411">
          <cell r="B411" t="str">
            <v>Executive - Marketing</v>
          </cell>
        </row>
        <row r="412">
          <cell r="B412" t="str">
            <v>Executive - Sales</v>
          </cell>
        </row>
        <row r="413">
          <cell r="B413" t="str">
            <v>Executive - Sales &amp; Service</v>
          </cell>
        </row>
        <row r="414">
          <cell r="B414" t="str">
            <v>Expediter - Material</v>
          </cell>
        </row>
        <row r="415">
          <cell r="B415" t="str">
            <v>Fabrication Worker</v>
          </cell>
        </row>
        <row r="416">
          <cell r="B416" t="str">
            <v>Fabricator</v>
          </cell>
        </row>
        <row r="417">
          <cell r="B417" t="str">
            <v>Fabricator - Duct</v>
          </cell>
        </row>
        <row r="418">
          <cell r="B418" t="str">
            <v>Fabricator - Pipe</v>
          </cell>
        </row>
        <row r="419">
          <cell r="B419" t="str">
            <v>Fabricator - Sheet Metal</v>
          </cell>
        </row>
        <row r="420">
          <cell r="B420" t="str">
            <v>Fabricator - Steel</v>
          </cell>
        </row>
        <row r="421">
          <cell r="B421" t="str">
            <v>Fabricator - Structural</v>
          </cell>
        </row>
        <row r="422">
          <cell r="B422" t="str">
            <v>Fabricator/Welder</v>
          </cell>
        </row>
        <row r="423">
          <cell r="B423" t="str">
            <v>Factory Assistant</v>
          </cell>
        </row>
        <row r="424">
          <cell r="B424" t="str">
            <v>Filing Clerk - Senior</v>
          </cell>
        </row>
        <row r="425">
          <cell r="B425" t="str">
            <v>Financial Controller</v>
          </cell>
        </row>
        <row r="426">
          <cell r="B426" t="str">
            <v>First Aid / Cardio Pulmonary Resuscitation Provider</v>
          </cell>
        </row>
        <row r="427">
          <cell r="B427" t="str">
            <v>Fitter</v>
          </cell>
        </row>
        <row r="428">
          <cell r="B428" t="str">
            <v>Fitter - Assistant</v>
          </cell>
        </row>
        <row r="429">
          <cell r="B429" t="str">
            <v>Fitter - Assistant - Mechanical</v>
          </cell>
        </row>
        <row r="430">
          <cell r="B430" t="str">
            <v>Fitter - Cladding</v>
          </cell>
        </row>
        <row r="431">
          <cell r="B431" t="str">
            <v>Fitter - Electrical</v>
          </cell>
        </row>
        <row r="432">
          <cell r="B432" t="str">
            <v>Fitter - Gas</v>
          </cell>
        </row>
        <row r="433">
          <cell r="B433" t="str">
            <v>Fitter - Instrumentation</v>
          </cell>
        </row>
        <row r="434">
          <cell r="B434" t="str">
            <v>Fitter - Junior</v>
          </cell>
        </row>
        <row r="435">
          <cell r="B435" t="str">
            <v>Fitter - Junior - Cladding</v>
          </cell>
        </row>
        <row r="436">
          <cell r="B436" t="str">
            <v>Fitter - Junior - Electrical</v>
          </cell>
        </row>
        <row r="437">
          <cell r="B437" t="str">
            <v>Fitter - Junior - Instrumentation</v>
          </cell>
        </row>
        <row r="438">
          <cell r="B438" t="str">
            <v>Fitter - Junior - Mechanical</v>
          </cell>
        </row>
        <row r="439">
          <cell r="B439" t="str">
            <v>Fitter - Junior - Millwright</v>
          </cell>
        </row>
        <row r="440">
          <cell r="B440" t="str">
            <v>Fitter - Junior - Pipe</v>
          </cell>
        </row>
        <row r="441">
          <cell r="B441" t="str">
            <v>Fitter - Junior - Structural</v>
          </cell>
        </row>
        <row r="442">
          <cell r="B442" t="str">
            <v>Fitter - Mechanic</v>
          </cell>
        </row>
        <row r="443">
          <cell r="B443" t="str">
            <v>Fitter - Mechanical</v>
          </cell>
        </row>
        <row r="444">
          <cell r="B444" t="str">
            <v>Fitter - Millwright</v>
          </cell>
        </row>
        <row r="445">
          <cell r="B445" t="str">
            <v>Fitter - Pipe</v>
          </cell>
        </row>
        <row r="446">
          <cell r="B446" t="str">
            <v>Fitter - Senior</v>
          </cell>
        </row>
        <row r="447">
          <cell r="B447" t="str">
            <v>Fitter - Senior - Instrument</v>
          </cell>
        </row>
        <row r="448">
          <cell r="B448" t="str">
            <v>Fitter - Sheet Metal</v>
          </cell>
        </row>
        <row r="449">
          <cell r="B449" t="str">
            <v>Fitter - Steel</v>
          </cell>
        </row>
        <row r="450">
          <cell r="B450" t="str">
            <v>Fitter - Structural</v>
          </cell>
        </row>
        <row r="451">
          <cell r="B451" t="str">
            <v>Fixer - Steel</v>
          </cell>
        </row>
        <row r="452">
          <cell r="B452" t="str">
            <v>Fixer - Steel - Assistant</v>
          </cell>
        </row>
        <row r="453">
          <cell r="B453" t="str">
            <v>Foreman</v>
          </cell>
        </row>
        <row r="454">
          <cell r="B454" t="str">
            <v>Foreman - Acting</v>
          </cell>
        </row>
        <row r="455">
          <cell r="B455" t="str">
            <v>Foreman - Appliance &amp; Electricals</v>
          </cell>
        </row>
        <row r="456">
          <cell r="B456" t="str">
            <v>Foreman - Assistant</v>
          </cell>
        </row>
        <row r="457">
          <cell r="B457" t="str">
            <v>Foreman - Auto</v>
          </cell>
        </row>
        <row r="458">
          <cell r="B458" t="str">
            <v>Foreman - Carpentry</v>
          </cell>
        </row>
        <row r="459">
          <cell r="B459" t="str">
            <v>Foreman - Civil</v>
          </cell>
        </row>
        <row r="460">
          <cell r="B460" t="str">
            <v>Foreman - Ducting</v>
          </cell>
        </row>
        <row r="461">
          <cell r="B461" t="str">
            <v>Foreman - Electrical</v>
          </cell>
        </row>
        <row r="462">
          <cell r="B462" t="str">
            <v>Foreman - Fixer - Steel</v>
          </cell>
        </row>
        <row r="463">
          <cell r="B463" t="str">
            <v>Foreman - Gardener</v>
          </cell>
        </row>
        <row r="464">
          <cell r="B464" t="str">
            <v>Foreman - Heat Ventilation and Air Conditioning</v>
          </cell>
        </row>
        <row r="465">
          <cell r="B465" t="str">
            <v>Foreman - Heavy Equipments</v>
          </cell>
        </row>
        <row r="466">
          <cell r="B466" t="str">
            <v>Foreman - Heavy Lift</v>
          </cell>
        </row>
        <row r="467">
          <cell r="B467" t="str">
            <v>Foreman - Instrumentation</v>
          </cell>
        </row>
        <row r="468">
          <cell r="B468" t="str">
            <v>Foreman - Landscape</v>
          </cell>
        </row>
        <row r="469">
          <cell r="B469" t="str">
            <v>Foreman - Maintenance</v>
          </cell>
        </row>
        <row r="470">
          <cell r="B470" t="str">
            <v>Foreman - Masonry</v>
          </cell>
        </row>
        <row r="471">
          <cell r="B471" t="str">
            <v>Foreman - Mechanical</v>
          </cell>
        </row>
        <row r="472">
          <cell r="B472" t="str">
            <v>Foreman - Millwright</v>
          </cell>
        </row>
        <row r="473">
          <cell r="B473" t="str">
            <v>Foreman - Multicraft</v>
          </cell>
        </row>
        <row r="474">
          <cell r="B474" t="str">
            <v>Foreman - Piping</v>
          </cell>
        </row>
        <row r="475">
          <cell r="B475" t="str">
            <v>Foreman - Plumbing</v>
          </cell>
        </row>
        <row r="476">
          <cell r="B476" t="str">
            <v>Foreman - Rigging</v>
          </cell>
        </row>
        <row r="477">
          <cell r="B477" t="str">
            <v>Foreman - Safety</v>
          </cell>
        </row>
        <row r="478">
          <cell r="B478" t="str">
            <v>Foreman - Scaffolding</v>
          </cell>
        </row>
        <row r="479">
          <cell r="B479" t="str">
            <v>Foreman - Senior</v>
          </cell>
        </row>
        <row r="480">
          <cell r="B480" t="str">
            <v>Foreman - Senior - Electrical</v>
          </cell>
        </row>
        <row r="481">
          <cell r="B481" t="str">
            <v>Foreman - Senior - Heavy Lift</v>
          </cell>
        </row>
        <row r="482">
          <cell r="B482" t="str">
            <v>Foreman - Senior - Instrumentation</v>
          </cell>
        </row>
        <row r="483">
          <cell r="B483" t="str">
            <v>Foreman - Senior - Mechanical</v>
          </cell>
        </row>
        <row r="484">
          <cell r="B484" t="str">
            <v>Foreman - Senior - Millwright</v>
          </cell>
        </row>
        <row r="485">
          <cell r="B485" t="str">
            <v>Foreman - Senior - Piping</v>
          </cell>
        </row>
        <row r="486">
          <cell r="B486" t="str">
            <v>Foreman - Senior - Scaffolding</v>
          </cell>
        </row>
        <row r="487">
          <cell r="B487" t="str">
            <v>Foreman - Senior - Welding</v>
          </cell>
        </row>
        <row r="488">
          <cell r="B488" t="str">
            <v>Foreman - Shop</v>
          </cell>
        </row>
        <row r="489">
          <cell r="B489" t="str">
            <v>Foreman - Structural</v>
          </cell>
        </row>
        <row r="490">
          <cell r="B490" t="str">
            <v>Foreman - Welding</v>
          </cell>
        </row>
        <row r="491">
          <cell r="B491" t="str">
            <v>Functional Consultant - Enterprise Resource Planning</v>
          </cell>
        </row>
        <row r="492">
          <cell r="B492" t="str">
            <v>Furniture Mover</v>
          </cell>
        </row>
        <row r="493">
          <cell r="B493" t="str">
            <v>Furniture Mover/Green Keeper</v>
          </cell>
        </row>
        <row r="494">
          <cell r="B494" t="str">
            <v>Gardemanger</v>
          </cell>
        </row>
        <row r="495">
          <cell r="B495" t="str">
            <v>Gardener</v>
          </cell>
        </row>
        <row r="496">
          <cell r="B496" t="str">
            <v>Gardener - Head</v>
          </cell>
        </row>
        <row r="497">
          <cell r="B497" t="str">
            <v>Gardmanger - Assistant</v>
          </cell>
        </row>
        <row r="498">
          <cell r="B498" t="str">
            <v>General Assistant</v>
          </cell>
        </row>
        <row r="499">
          <cell r="B499" t="str">
            <v>General Assistant - Cleaner</v>
          </cell>
        </row>
        <row r="500">
          <cell r="B500" t="str">
            <v>General Assistant - Kitchen Boy</v>
          </cell>
        </row>
        <row r="501">
          <cell r="B501" t="str">
            <v>General Assistant - Room Boy</v>
          </cell>
        </row>
        <row r="502">
          <cell r="B502" t="str">
            <v>General Assistant - Room Boy - Transient</v>
          </cell>
        </row>
        <row r="503">
          <cell r="B503" t="str">
            <v>General Manager</v>
          </cell>
        </row>
        <row r="504">
          <cell r="B504" t="str">
            <v>General Manager - Administration</v>
          </cell>
        </row>
        <row r="505">
          <cell r="B505" t="str">
            <v>General Manager - Construction</v>
          </cell>
        </row>
        <row r="506">
          <cell r="B506" t="str">
            <v>General Manager - Deputy</v>
          </cell>
        </row>
        <row r="507">
          <cell r="B507" t="str">
            <v>General Manager - Deputy - Audit</v>
          </cell>
        </row>
        <row r="508">
          <cell r="B508" t="str">
            <v>General Manager - Deputy - Finance &amp; Administration</v>
          </cell>
        </row>
        <row r="509">
          <cell r="B509" t="str">
            <v>General Manager - Deputy - Projects</v>
          </cell>
        </row>
        <row r="510">
          <cell r="B510" t="str">
            <v>General Manager - Facility Management Services</v>
          </cell>
        </row>
        <row r="511">
          <cell r="B511" t="str">
            <v>General Manager - Human Resources</v>
          </cell>
        </row>
        <row r="512">
          <cell r="B512" t="str">
            <v>General Manager - Power Projects Division</v>
          </cell>
        </row>
        <row r="513">
          <cell r="B513" t="str">
            <v>General Manager - Transmission &amp; Distribution Division</v>
          </cell>
        </row>
        <row r="514">
          <cell r="B514" t="str">
            <v>Graphics Designer</v>
          </cell>
        </row>
        <row r="515">
          <cell r="B515" t="str">
            <v>Green Keeper</v>
          </cell>
        </row>
        <row r="516">
          <cell r="B516" t="str">
            <v>Grounds man</v>
          </cell>
        </row>
        <row r="517">
          <cell r="B517" t="str">
            <v>Grounds man - Janitor</v>
          </cell>
        </row>
        <row r="518">
          <cell r="B518" t="str">
            <v>Group Chairman</v>
          </cell>
        </row>
        <row r="519">
          <cell r="B519" t="str">
            <v>Group ERP Finance Manager</v>
          </cell>
        </row>
        <row r="520">
          <cell r="B520" t="str">
            <v>Group Financial Controller</v>
          </cell>
        </row>
        <row r="521">
          <cell r="B521" t="str">
            <v>Group Financial Controller - Deputy</v>
          </cell>
        </row>
        <row r="522">
          <cell r="B522" t="str">
            <v>Group General Manager</v>
          </cell>
        </row>
        <row r="523">
          <cell r="B523" t="str">
            <v>Handyman</v>
          </cell>
        </row>
        <row r="524">
          <cell r="B524" t="str">
            <v>Headman Furniture Warehouse</v>
          </cell>
        </row>
        <row r="525">
          <cell r="B525" t="str">
            <v>Helper</v>
          </cell>
        </row>
        <row r="526">
          <cell r="B526" t="str">
            <v>Helper - Air Conditioning</v>
          </cell>
        </row>
        <row r="527">
          <cell r="B527" t="str">
            <v>Helper - Auto Electrician</v>
          </cell>
        </row>
        <row r="528">
          <cell r="B528" t="str">
            <v>Helper - Auto Mechanic</v>
          </cell>
        </row>
        <row r="529">
          <cell r="B529" t="str">
            <v>Helper - Carpenter</v>
          </cell>
        </row>
        <row r="530">
          <cell r="B530" t="str">
            <v>Helper - Construction</v>
          </cell>
        </row>
        <row r="531">
          <cell r="B531" t="str">
            <v>Helper - Cook</v>
          </cell>
        </row>
        <row r="532">
          <cell r="B532" t="str">
            <v>Helper - Domestic</v>
          </cell>
        </row>
        <row r="533">
          <cell r="B533" t="str">
            <v>Helper - Driver</v>
          </cell>
        </row>
        <row r="534">
          <cell r="B534" t="str">
            <v>Helper - Duct Fabricator</v>
          </cell>
        </row>
        <row r="535">
          <cell r="B535" t="str">
            <v>Helper - Electrical</v>
          </cell>
        </row>
        <row r="536">
          <cell r="B536" t="str">
            <v>Helper - Electrician</v>
          </cell>
        </row>
        <row r="537">
          <cell r="B537" t="str">
            <v>Helper - General Assistant</v>
          </cell>
        </row>
        <row r="538">
          <cell r="B538" t="str">
            <v>Helper - Janitor</v>
          </cell>
        </row>
        <row r="539">
          <cell r="B539" t="str">
            <v>Helper - Janitor-Labour</v>
          </cell>
        </row>
        <row r="540">
          <cell r="B540" t="str">
            <v>Helper - Laborer</v>
          </cell>
        </row>
        <row r="541">
          <cell r="B541" t="str">
            <v>Helper - Maintenance</v>
          </cell>
        </row>
        <row r="542">
          <cell r="B542" t="str">
            <v>Helper - Mason</v>
          </cell>
        </row>
        <row r="543">
          <cell r="B543" t="str">
            <v>Helper - Mechanical</v>
          </cell>
        </row>
        <row r="544">
          <cell r="B544" t="str">
            <v>Helper - Painter</v>
          </cell>
        </row>
        <row r="545">
          <cell r="B545" t="str">
            <v>Helper - Semi Skilled</v>
          </cell>
        </row>
        <row r="546">
          <cell r="B546" t="str">
            <v>Helper - Shop</v>
          </cell>
        </row>
        <row r="547">
          <cell r="B547" t="str">
            <v>Helper - Warehouse</v>
          </cell>
        </row>
        <row r="548">
          <cell r="B548" t="str">
            <v>Helper - Warehouse-Labor</v>
          </cell>
        </row>
        <row r="549">
          <cell r="B549" t="str">
            <v>Helper - Welder</v>
          </cell>
        </row>
        <row r="550">
          <cell r="B550" t="str">
            <v>Hire Desk Controller</v>
          </cell>
        </row>
        <row r="551">
          <cell r="B551" t="str">
            <v>Housekeeper</v>
          </cell>
        </row>
        <row r="552">
          <cell r="B552" t="str">
            <v>Housemaid</v>
          </cell>
        </row>
        <row r="553">
          <cell r="B553" t="str">
            <v>Housing Assignment Clerk</v>
          </cell>
        </row>
        <row r="554">
          <cell r="B554" t="str">
            <v>HR Officer</v>
          </cell>
        </row>
        <row r="555">
          <cell r="B555" t="str">
            <v>Human Resources Business Partner</v>
          </cell>
        </row>
        <row r="556">
          <cell r="B556" t="str">
            <v>Indoor Plant Caretaker</v>
          </cell>
        </row>
        <row r="557">
          <cell r="B557" t="str">
            <v>Inspector</v>
          </cell>
        </row>
        <row r="558">
          <cell r="B558" t="str">
            <v>Inspector - Building</v>
          </cell>
        </row>
        <row r="559">
          <cell r="B559" t="str">
            <v>Inspector - Civil</v>
          </cell>
        </row>
        <row r="560">
          <cell r="B560" t="str">
            <v>Inspector - Crane</v>
          </cell>
        </row>
        <row r="561">
          <cell r="B561" t="str">
            <v>Inspector - Housing</v>
          </cell>
        </row>
        <row r="562">
          <cell r="B562" t="str">
            <v>Inspector - Junior - Quality Assurance/Quality Control</v>
          </cell>
        </row>
        <row r="563">
          <cell r="B563" t="str">
            <v>Inspector - Maintenance</v>
          </cell>
        </row>
        <row r="564">
          <cell r="B564" t="str">
            <v>Inspector - Petroleum</v>
          </cell>
        </row>
        <row r="565">
          <cell r="B565" t="str">
            <v>Inspector - Quality Assurance/Quality Control</v>
          </cell>
        </row>
        <row r="566">
          <cell r="B566" t="str">
            <v>Inspector - Quality Control</v>
          </cell>
        </row>
        <row r="567">
          <cell r="B567" t="str">
            <v>Inspector - Safety</v>
          </cell>
        </row>
        <row r="568">
          <cell r="B568" t="str">
            <v>Inspector - Senior - Quality Assurance/Quality Control</v>
          </cell>
        </row>
        <row r="569">
          <cell r="B569" t="str">
            <v>Inspector - Senior - Safety</v>
          </cell>
        </row>
        <row r="570">
          <cell r="B570" t="str">
            <v>Inspector/Foreman - Building</v>
          </cell>
        </row>
        <row r="571">
          <cell r="B571" t="str">
            <v>Instructor Fitness</v>
          </cell>
        </row>
        <row r="572">
          <cell r="B572" t="str">
            <v>Insulator</v>
          </cell>
        </row>
        <row r="573">
          <cell r="B573" t="str">
            <v>Interior Designer</v>
          </cell>
        </row>
        <row r="574">
          <cell r="B574" t="str">
            <v>Janitor</v>
          </cell>
        </row>
        <row r="575">
          <cell r="B575" t="str">
            <v>Janitor - Labor</v>
          </cell>
        </row>
        <row r="576">
          <cell r="B576" t="str">
            <v>Junior Inspector</v>
          </cell>
        </row>
        <row r="577">
          <cell r="B577" t="str">
            <v>Junior Operator</v>
          </cell>
        </row>
        <row r="578">
          <cell r="B578" t="str">
            <v>Junior Spray Painter</v>
          </cell>
        </row>
        <row r="579">
          <cell r="B579" t="str">
            <v>Khalasi</v>
          </cell>
        </row>
        <row r="580">
          <cell r="B580" t="str">
            <v>Kuwaiti Representative</v>
          </cell>
        </row>
        <row r="581">
          <cell r="B581" t="str">
            <v>Labor - Green Keeper</v>
          </cell>
        </row>
        <row r="582">
          <cell r="B582" t="str">
            <v>Labor - Multitask</v>
          </cell>
        </row>
        <row r="583">
          <cell r="B583" t="str">
            <v>Laborer</v>
          </cell>
        </row>
        <row r="584">
          <cell r="B584" t="str">
            <v>Land Surveyor</v>
          </cell>
        </row>
        <row r="585">
          <cell r="B585" t="str">
            <v>Laundryman</v>
          </cell>
        </row>
        <row r="586">
          <cell r="B586" t="str">
            <v>Laundryman - Assistant</v>
          </cell>
        </row>
        <row r="587">
          <cell r="B587" t="str">
            <v>Lead Machinist</v>
          </cell>
        </row>
        <row r="588">
          <cell r="B588" t="str">
            <v>Lead Mechanic</v>
          </cell>
        </row>
        <row r="589">
          <cell r="B589" t="str">
            <v>Leadman - Blasting/Painting</v>
          </cell>
        </row>
        <row r="590">
          <cell r="B590" t="str">
            <v>Leadman - Carpenter</v>
          </cell>
        </row>
        <row r="591">
          <cell r="B591" t="str">
            <v>Leadman - Cleaning</v>
          </cell>
        </row>
        <row r="592">
          <cell r="B592" t="str">
            <v>Leadman - Ducting</v>
          </cell>
        </row>
        <row r="593">
          <cell r="B593" t="str">
            <v>Leadman - Electrician</v>
          </cell>
        </row>
        <row r="594">
          <cell r="B594" t="str">
            <v>Leadman - Fabricator</v>
          </cell>
        </row>
        <row r="595">
          <cell r="B595" t="str">
            <v>Leadman - Fixer Steel</v>
          </cell>
        </row>
        <row r="596">
          <cell r="B596" t="str">
            <v>Leadman - Foreman</v>
          </cell>
        </row>
        <row r="597">
          <cell r="B597" t="str">
            <v>Leadman - Helper</v>
          </cell>
        </row>
        <row r="598">
          <cell r="B598" t="str">
            <v>Leadman - Mason</v>
          </cell>
        </row>
        <row r="599">
          <cell r="B599" t="str">
            <v>Leadman - Mechanic</v>
          </cell>
        </row>
        <row r="600">
          <cell r="B600" t="str">
            <v>Leadman - Welding</v>
          </cell>
        </row>
        <row r="601">
          <cell r="B601" t="str">
            <v>Legal Advisor</v>
          </cell>
        </row>
        <row r="602">
          <cell r="B602" t="str">
            <v>Librarian</v>
          </cell>
        </row>
        <row r="603">
          <cell r="B603" t="str">
            <v>Lifeguard</v>
          </cell>
        </row>
        <row r="604">
          <cell r="B604" t="str">
            <v>Linen Keeper</v>
          </cell>
        </row>
        <row r="605">
          <cell r="B605" t="str">
            <v>Locksmith</v>
          </cell>
        </row>
        <row r="606">
          <cell r="B606" t="str">
            <v>Logistic Controller</v>
          </cell>
        </row>
        <row r="607">
          <cell r="B607" t="str">
            <v>Machinist</v>
          </cell>
        </row>
        <row r="608">
          <cell r="B608" t="str">
            <v>Machinist Trainee</v>
          </cell>
        </row>
        <row r="609">
          <cell r="B609" t="str">
            <v>Mail Sorter</v>
          </cell>
        </row>
        <row r="610">
          <cell r="B610" t="str">
            <v>Maint. Fitter</v>
          </cell>
        </row>
        <row r="611">
          <cell r="B611" t="str">
            <v>Manager</v>
          </cell>
        </row>
        <row r="612">
          <cell r="B612" t="str">
            <v>Manager - Accounts</v>
          </cell>
        </row>
        <row r="613">
          <cell r="B613" t="str">
            <v>Manager - Administration</v>
          </cell>
        </row>
        <row r="614">
          <cell r="B614" t="str">
            <v>Manager - Area</v>
          </cell>
        </row>
        <row r="615">
          <cell r="B615" t="str">
            <v>Manager - Assistant</v>
          </cell>
        </row>
        <row r="616">
          <cell r="B616" t="str">
            <v>Manager - Assistant - Accounts</v>
          </cell>
        </row>
        <row r="617">
          <cell r="B617" t="str">
            <v>Manager - Assistant - Accounts/Administration</v>
          </cell>
        </row>
        <row r="618">
          <cell r="B618" t="str">
            <v>Manager - Assistant - Administration</v>
          </cell>
        </row>
        <row r="619">
          <cell r="B619" t="str">
            <v>Manager - Assistant - Business Development</v>
          </cell>
        </row>
        <row r="620">
          <cell r="B620" t="str">
            <v>Manager - Assistant - Construction</v>
          </cell>
        </row>
        <row r="621">
          <cell r="B621" t="str">
            <v>Manager - Assistant - Contracts</v>
          </cell>
        </row>
        <row r="622">
          <cell r="B622" t="str">
            <v>Manager - Assistant - Designs</v>
          </cell>
        </row>
        <row r="623">
          <cell r="B623" t="str">
            <v>Manager - Assistant - Electrical</v>
          </cell>
        </row>
        <row r="624">
          <cell r="B624" t="str">
            <v>Manager - Assistant - Engineering</v>
          </cell>
        </row>
        <row r="625">
          <cell r="B625" t="str">
            <v>Manager - Assistant - Food &amp; Beverages</v>
          </cell>
        </row>
        <row r="626">
          <cell r="B626" t="str">
            <v>Manager - Assistant - Human Resources</v>
          </cell>
        </row>
        <row r="627">
          <cell r="B627" t="str">
            <v>Manager - Assistant - Maintenance</v>
          </cell>
        </row>
        <row r="628">
          <cell r="B628" t="str">
            <v>Manager - Assistant - Materials</v>
          </cell>
        </row>
        <row r="629">
          <cell r="B629" t="str">
            <v>Manager - Assistant - Office</v>
          </cell>
        </row>
        <row r="630">
          <cell r="B630" t="str">
            <v>Manager - Assistant - Planning</v>
          </cell>
        </row>
        <row r="631">
          <cell r="B631" t="str">
            <v>Manager - Assistant - Procurement</v>
          </cell>
        </row>
        <row r="632">
          <cell r="B632" t="str">
            <v>Manager - Assistant - Projects</v>
          </cell>
        </row>
        <row r="633">
          <cell r="B633" t="str">
            <v>Manager - Assistant - Projects Coordination</v>
          </cell>
        </row>
        <row r="634">
          <cell r="B634" t="str">
            <v>Manager - Assistant - Protection</v>
          </cell>
        </row>
        <row r="635">
          <cell r="B635" t="str">
            <v>Manager - Assistant - Quality Assurance / Safety Control</v>
          </cell>
        </row>
        <row r="636">
          <cell r="B636" t="str">
            <v>Manager - Assistant - Quality Assurance/Quality Control</v>
          </cell>
        </row>
        <row r="637">
          <cell r="B637" t="str">
            <v>Manager - Assistant - Quality Assurance/Safety Control</v>
          </cell>
        </row>
        <row r="638">
          <cell r="B638" t="str">
            <v>Manager - Assistant - Safety</v>
          </cell>
        </row>
        <row r="639">
          <cell r="B639" t="str">
            <v>Manager - Assistant - Testing &amp; Commissioning</v>
          </cell>
        </row>
        <row r="640">
          <cell r="B640" t="str">
            <v>Manager - Branch</v>
          </cell>
        </row>
        <row r="641">
          <cell r="B641" t="str">
            <v>Manager - Business Development</v>
          </cell>
        </row>
        <row r="642">
          <cell r="B642" t="str">
            <v>Manager - Camp</v>
          </cell>
        </row>
        <row r="643">
          <cell r="B643" t="str">
            <v>Manager - Chief - Projects</v>
          </cell>
        </row>
        <row r="644">
          <cell r="B644" t="str">
            <v>Manager - Commercial</v>
          </cell>
        </row>
        <row r="645">
          <cell r="B645" t="str">
            <v>Manager - Compensation &amp; Benefits</v>
          </cell>
        </row>
        <row r="646">
          <cell r="B646" t="str">
            <v>Manager - Construction</v>
          </cell>
        </row>
        <row r="647">
          <cell r="B647" t="str">
            <v>Manager - Construction - Mechanical</v>
          </cell>
        </row>
        <row r="648">
          <cell r="B648" t="str">
            <v>Manager - Contracts</v>
          </cell>
        </row>
        <row r="649">
          <cell r="B649" t="str">
            <v>Manager - Contracts &amp; Administration</v>
          </cell>
        </row>
        <row r="650">
          <cell r="B650" t="str">
            <v>Manager - Contracts &amp; Procurement</v>
          </cell>
        </row>
        <row r="651">
          <cell r="B651" t="str">
            <v>Manager - Country</v>
          </cell>
        </row>
        <row r="652">
          <cell r="B652" t="str">
            <v>Manager - Deputy</v>
          </cell>
        </row>
        <row r="653">
          <cell r="B653" t="str">
            <v>Manager - Deputy - Admin</v>
          </cell>
        </row>
        <row r="654">
          <cell r="B654" t="str">
            <v>Manager - Deputy - Civil</v>
          </cell>
        </row>
        <row r="655">
          <cell r="B655" t="str">
            <v>Manager - Deputy - Construction</v>
          </cell>
        </row>
        <row r="656">
          <cell r="B656" t="str">
            <v>Manager - Deputy - Contracts</v>
          </cell>
        </row>
        <row r="657">
          <cell r="B657" t="str">
            <v>Manager - Deputy - Designs</v>
          </cell>
        </row>
        <row r="658">
          <cell r="B658" t="str">
            <v>Manager - Deputy - Finance</v>
          </cell>
        </row>
        <row r="659">
          <cell r="B659" t="str">
            <v>Manager - Deputy - HR</v>
          </cell>
        </row>
        <row r="660">
          <cell r="B660" t="str">
            <v>Manager - Deputy - Internal Audit</v>
          </cell>
        </row>
        <row r="661">
          <cell r="B661" t="str">
            <v>Manager - Deputy - Marketing</v>
          </cell>
        </row>
        <row r="662">
          <cell r="B662" t="str">
            <v>Manager - Deputy - Materials</v>
          </cell>
        </row>
        <row r="663">
          <cell r="B663" t="str">
            <v>Manager - Deputy - Planning</v>
          </cell>
        </row>
        <row r="664">
          <cell r="B664" t="str">
            <v>Manager - Deputy - Procurement</v>
          </cell>
        </row>
        <row r="665">
          <cell r="B665" t="str">
            <v>Manager - Deputy - Production</v>
          </cell>
        </row>
        <row r="666">
          <cell r="B666" t="str">
            <v>Manager - Deputy - Projects</v>
          </cell>
        </row>
        <row r="667">
          <cell r="B667" t="str">
            <v>Manager - Deputy - Projects Coordination</v>
          </cell>
        </row>
        <row r="668">
          <cell r="B668" t="str">
            <v>Manager - Deputy - Proposals</v>
          </cell>
        </row>
        <row r="669">
          <cell r="B669" t="str">
            <v>Manager - Deputy - Quality Assurance/Quality Control</v>
          </cell>
        </row>
        <row r="670">
          <cell r="B670" t="str">
            <v>Manager - Deputy - Safety</v>
          </cell>
        </row>
        <row r="671">
          <cell r="B671" t="str">
            <v>Manager - Deputy - Sales &amp; Marketing</v>
          </cell>
        </row>
        <row r="672">
          <cell r="B672" t="str">
            <v>Manager - Deputy - Testing &amp; Commissioning</v>
          </cell>
        </row>
        <row r="673">
          <cell r="B673" t="str">
            <v>Manager - Designs</v>
          </cell>
        </row>
        <row r="674">
          <cell r="B674" t="str">
            <v>Manager - Divisional</v>
          </cell>
        </row>
        <row r="675">
          <cell r="B675" t="str">
            <v>Manager - Divisional - Construction</v>
          </cell>
        </row>
        <row r="676">
          <cell r="B676" t="str">
            <v>Manager - Divisional - Engineer</v>
          </cell>
        </row>
        <row r="677">
          <cell r="B677" t="str">
            <v>Manager - Divisional - Projects</v>
          </cell>
        </row>
        <row r="678">
          <cell r="B678" t="str">
            <v>Manager - Divisional - Quality Assurance/Quality Control</v>
          </cell>
        </row>
        <row r="679">
          <cell r="B679" t="str">
            <v>Manager - Employee Relations</v>
          </cell>
        </row>
        <row r="680">
          <cell r="B680" t="str">
            <v>Manager - Engineering</v>
          </cell>
        </row>
        <row r="681">
          <cell r="B681" t="str">
            <v>Manager - Enterprise Resource Planning</v>
          </cell>
        </row>
        <row r="682">
          <cell r="B682" t="str">
            <v>Manager - Estimating Group</v>
          </cell>
        </row>
        <row r="683">
          <cell r="B683" t="str">
            <v>Manager - Executive</v>
          </cell>
        </row>
        <row r="684">
          <cell r="B684" t="str">
            <v>Manager - Facilities Maintenance</v>
          </cell>
        </row>
        <row r="685">
          <cell r="B685" t="str">
            <v>Manager - Finance</v>
          </cell>
        </row>
        <row r="686">
          <cell r="B686" t="str">
            <v>Manager - Finance &amp; Administration</v>
          </cell>
        </row>
        <row r="687">
          <cell r="B687" t="str">
            <v>Manager - Food and Beverage</v>
          </cell>
        </row>
        <row r="688">
          <cell r="B688" t="str">
            <v>Manager - Garage</v>
          </cell>
        </row>
        <row r="689">
          <cell r="B689" t="str">
            <v>Manager - Group Health &amp; Safety</v>
          </cell>
        </row>
        <row r="690">
          <cell r="B690" t="str">
            <v>Manager - Group Human Resources</v>
          </cell>
        </row>
        <row r="691">
          <cell r="B691" t="str">
            <v>Manager - Group Purchasing</v>
          </cell>
        </row>
        <row r="692">
          <cell r="B692" t="str">
            <v>Manager - Heat Ventilation and Air Conditioning</v>
          </cell>
        </row>
        <row r="693">
          <cell r="B693" t="str">
            <v>Manager - House</v>
          </cell>
        </row>
        <row r="694">
          <cell r="B694" t="str">
            <v>Manager - Human Resources</v>
          </cell>
        </row>
        <row r="695">
          <cell r="B695" t="str">
            <v>Manager - Human Resources &amp; Administration</v>
          </cell>
        </row>
        <row r="696">
          <cell r="B696" t="str">
            <v>Manager - Hygiene</v>
          </cell>
        </row>
        <row r="697">
          <cell r="B697" t="str">
            <v>Manager - Information Technology Infrastructure</v>
          </cell>
        </row>
        <row r="698">
          <cell r="B698" t="str">
            <v>Manager - Instrumentation &amp; Control</v>
          </cell>
        </row>
        <row r="699">
          <cell r="B699" t="str">
            <v>Manager - Internal Audit</v>
          </cell>
        </row>
        <row r="700">
          <cell r="B700" t="str">
            <v>Manager - Legal Department</v>
          </cell>
        </row>
        <row r="701">
          <cell r="B701" t="str">
            <v>Manager - Maintenance</v>
          </cell>
        </row>
        <row r="702">
          <cell r="B702" t="str">
            <v>Manager - Marketing</v>
          </cell>
        </row>
        <row r="703">
          <cell r="B703" t="str">
            <v>Manager - Materials</v>
          </cell>
        </row>
        <row r="704">
          <cell r="B704" t="str">
            <v>Manager - Mechanical - Project</v>
          </cell>
        </row>
        <row r="705">
          <cell r="B705" t="str">
            <v>Manager - Office</v>
          </cell>
        </row>
        <row r="706">
          <cell r="B706" t="str">
            <v>Manager - Office - Administration</v>
          </cell>
        </row>
        <row r="707">
          <cell r="B707" t="str">
            <v>Manager - Operations</v>
          </cell>
        </row>
        <row r="708">
          <cell r="B708" t="str">
            <v>Manager - Organizational Development &amp; Training</v>
          </cell>
        </row>
        <row r="709">
          <cell r="B709" t="str">
            <v>Manager - Personnel</v>
          </cell>
        </row>
        <row r="710">
          <cell r="B710" t="str">
            <v>Manager - Pipeline Service</v>
          </cell>
        </row>
        <row r="711">
          <cell r="B711" t="str">
            <v>Manager - Planning &amp; Procurement</v>
          </cell>
        </row>
        <row r="712">
          <cell r="B712" t="str">
            <v>Manager - Plant</v>
          </cell>
        </row>
        <row r="713">
          <cell r="B713" t="str">
            <v>Manager - Procurement</v>
          </cell>
        </row>
        <row r="714">
          <cell r="B714" t="str">
            <v>Manager - Production</v>
          </cell>
        </row>
        <row r="715">
          <cell r="B715" t="str">
            <v>Manager - Project - Electrical</v>
          </cell>
        </row>
        <row r="716">
          <cell r="B716" t="str">
            <v>Manager - Project - Instrumentation &amp; Control</v>
          </cell>
        </row>
        <row r="717">
          <cell r="B717" t="str">
            <v>Manager - Project - Mechanical</v>
          </cell>
        </row>
        <row r="718">
          <cell r="B718" t="str">
            <v>Manager - Project Lead Civil Engineer</v>
          </cell>
        </row>
        <row r="719">
          <cell r="B719" t="str">
            <v>Manager - Project Lead Electrical Engineer</v>
          </cell>
        </row>
        <row r="720">
          <cell r="B720" t="str">
            <v>Manager - Projects</v>
          </cell>
        </row>
        <row r="721">
          <cell r="B721" t="str">
            <v>Manager - Projects - Support Services</v>
          </cell>
        </row>
        <row r="722">
          <cell r="B722" t="str">
            <v>Manager - Projects Coordination</v>
          </cell>
        </row>
        <row r="723">
          <cell r="B723" t="str">
            <v>Manager - Proposal</v>
          </cell>
        </row>
        <row r="724">
          <cell r="B724" t="str">
            <v>Manager - Quality Assurance/Quality Control</v>
          </cell>
        </row>
        <row r="725">
          <cell r="B725" t="str">
            <v>Manager - Quality/Health &amp; Safety</v>
          </cell>
        </row>
        <row r="726">
          <cell r="B726" t="str">
            <v>Manager - Recreation</v>
          </cell>
        </row>
        <row r="727">
          <cell r="B727" t="str">
            <v>Manager - Regional</v>
          </cell>
        </row>
        <row r="728">
          <cell r="B728" t="str">
            <v>Manager - Resident</v>
          </cell>
        </row>
        <row r="729">
          <cell r="B729" t="str">
            <v>Manager - Residential Complex</v>
          </cell>
        </row>
        <row r="730">
          <cell r="B730" t="str">
            <v>Manager - Resource &amp; Asset Management</v>
          </cell>
        </row>
        <row r="731">
          <cell r="B731" t="str">
            <v>Manager - Safety</v>
          </cell>
        </row>
        <row r="732">
          <cell r="B732" t="str">
            <v>Manager - Safety &amp; Security</v>
          </cell>
        </row>
        <row r="733">
          <cell r="B733" t="str">
            <v>Manager - Sales</v>
          </cell>
        </row>
        <row r="734">
          <cell r="B734" t="str">
            <v>Manager - Sales &amp; Marketing</v>
          </cell>
        </row>
        <row r="735">
          <cell r="B735" t="str">
            <v>Manager - Sales Regional</v>
          </cell>
        </row>
        <row r="736">
          <cell r="B736" t="str">
            <v>Manager - Sales, Marketing &amp; Technical Services</v>
          </cell>
        </row>
        <row r="737">
          <cell r="B737" t="str">
            <v>Manager - Sales/Electrical &amp; Instrument</v>
          </cell>
        </row>
        <row r="738">
          <cell r="B738" t="str">
            <v>Manager - Saudi Arabian Operations</v>
          </cell>
        </row>
        <row r="739">
          <cell r="B739" t="str">
            <v>Manager - Senior</v>
          </cell>
        </row>
        <row r="740">
          <cell r="B740" t="str">
            <v>Manager - Senior - Business Development</v>
          </cell>
        </row>
        <row r="741">
          <cell r="B741" t="str">
            <v>Manager - Senior - Commissioning</v>
          </cell>
        </row>
        <row r="742">
          <cell r="B742" t="str">
            <v>Manager - Senior - Commissioning, Warranty Support</v>
          </cell>
        </row>
        <row r="743">
          <cell r="B743" t="str">
            <v>Manager - Senior - Construction</v>
          </cell>
        </row>
        <row r="744">
          <cell r="B744" t="str">
            <v>Manager - Senior - Contracts</v>
          </cell>
        </row>
        <row r="745">
          <cell r="B745" t="str">
            <v>Manager - Senior - Designs</v>
          </cell>
        </row>
        <row r="746">
          <cell r="B746" t="str">
            <v>Manager - Senior - Engineering</v>
          </cell>
        </row>
        <row r="747">
          <cell r="B747" t="str">
            <v>Manager - Senior - Finance</v>
          </cell>
        </row>
        <row r="748">
          <cell r="B748" t="str">
            <v>Manager - Senior - Finance &amp; Administration</v>
          </cell>
        </row>
        <row r="749">
          <cell r="B749" t="str">
            <v>Manager - Senior - Human Resources &amp; Administration</v>
          </cell>
        </row>
        <row r="750">
          <cell r="B750" t="str">
            <v>Manager - Senior - Internal Audit</v>
          </cell>
        </row>
        <row r="751">
          <cell r="B751" t="str">
            <v>Manager - Senior - Office</v>
          </cell>
        </row>
        <row r="752">
          <cell r="B752" t="str">
            <v>Manager - Senior - Operations</v>
          </cell>
        </row>
        <row r="753">
          <cell r="B753" t="str">
            <v>Manager - Senior - Planning &amp; Procurement</v>
          </cell>
        </row>
        <row r="754">
          <cell r="B754" t="str">
            <v>Manager - Senior - Procurement</v>
          </cell>
        </row>
        <row r="755">
          <cell r="B755" t="str">
            <v>Manager - Senior - Projects</v>
          </cell>
        </row>
        <row r="756">
          <cell r="B756" t="str">
            <v>Manager - Senior - Purchasing</v>
          </cell>
        </row>
        <row r="757">
          <cell r="B757" t="str">
            <v>Manager - Senior - Quality Assurance/Quality Control</v>
          </cell>
        </row>
        <row r="758">
          <cell r="B758" t="str">
            <v>Manager - Senior - Sales &amp; Marketing</v>
          </cell>
        </row>
        <row r="759">
          <cell r="B759" t="str">
            <v>Manager - Senior - Warranty Support</v>
          </cell>
        </row>
        <row r="760">
          <cell r="B760" t="str">
            <v>Manager - Senior HR</v>
          </cell>
        </row>
        <row r="761">
          <cell r="B761" t="str">
            <v>Manager - Service</v>
          </cell>
        </row>
        <row r="762">
          <cell r="B762" t="str">
            <v>Manager - Services Sourcing</v>
          </cell>
        </row>
        <row r="763">
          <cell r="B763" t="str">
            <v>Manager - Site</v>
          </cell>
        </row>
        <row r="764">
          <cell r="B764" t="str">
            <v>Manager - Special Projects</v>
          </cell>
        </row>
        <row r="765">
          <cell r="B765" t="str">
            <v>Manager - Stores &amp; Logistics</v>
          </cell>
        </row>
        <row r="766">
          <cell r="B766" t="str">
            <v>Manager - Strategic Sourcing</v>
          </cell>
        </row>
        <row r="767">
          <cell r="B767" t="str">
            <v>Manager - Technical</v>
          </cell>
        </row>
        <row r="768">
          <cell r="B768" t="str">
            <v>Manager - Technical and Procurement</v>
          </cell>
        </row>
        <row r="769">
          <cell r="B769" t="str">
            <v>Manager - Tendering</v>
          </cell>
        </row>
        <row r="770">
          <cell r="B770" t="str">
            <v>Manager - Testing &amp; Commissioning</v>
          </cell>
        </row>
        <row r="771">
          <cell r="B771" t="str">
            <v>Manager - Trainee</v>
          </cell>
        </row>
        <row r="772">
          <cell r="B772" t="str">
            <v>Manager - Training</v>
          </cell>
        </row>
        <row r="773">
          <cell r="B773" t="str">
            <v>Manager - Transport</v>
          </cell>
        </row>
        <row r="774">
          <cell r="B774" t="str">
            <v>Manager - Turbine Operations</v>
          </cell>
        </row>
        <row r="775">
          <cell r="B775" t="str">
            <v>Manager - Unit</v>
          </cell>
        </row>
        <row r="776">
          <cell r="B776" t="str">
            <v>Manager - Warranty Support</v>
          </cell>
        </row>
        <row r="777">
          <cell r="B777" t="str">
            <v>Manager (PRO)</v>
          </cell>
        </row>
        <row r="778">
          <cell r="B778" t="str">
            <v>Manager (Quality)</v>
          </cell>
        </row>
        <row r="779">
          <cell r="B779" t="str">
            <v>Mason</v>
          </cell>
        </row>
        <row r="780">
          <cell r="B780" t="str">
            <v>Mason - Assistant</v>
          </cell>
        </row>
        <row r="781">
          <cell r="B781" t="str">
            <v>Mason - Senior</v>
          </cell>
        </row>
        <row r="782">
          <cell r="B782" t="str">
            <v>Mason / Painter</v>
          </cell>
        </row>
        <row r="783">
          <cell r="B783" t="str">
            <v>Mason/Carpenter</v>
          </cell>
        </row>
        <row r="784">
          <cell r="B784" t="str">
            <v>Mason/Tile Fixer</v>
          </cell>
        </row>
        <row r="785">
          <cell r="B785" t="str">
            <v>Material Chaser</v>
          </cell>
        </row>
        <row r="786">
          <cell r="B786" t="str">
            <v>Material Chaser - Senior</v>
          </cell>
        </row>
        <row r="787">
          <cell r="B787" t="str">
            <v>Material Officer</v>
          </cell>
        </row>
        <row r="788">
          <cell r="B788" t="str">
            <v>Mech. Draughtsman(Autocad)</v>
          </cell>
        </row>
        <row r="789">
          <cell r="B789" t="str">
            <v>Mechanic</v>
          </cell>
        </row>
        <row r="790">
          <cell r="B790" t="str">
            <v>Mechanic - Assistant</v>
          </cell>
        </row>
        <row r="791">
          <cell r="B791" t="str">
            <v>Mechanic - Assistant - Auto</v>
          </cell>
        </row>
        <row r="792">
          <cell r="B792" t="str">
            <v>Mechanic - Assistant - Diesel</v>
          </cell>
        </row>
        <row r="793">
          <cell r="B793" t="str">
            <v>Mechanic - Auto</v>
          </cell>
        </row>
        <row r="794">
          <cell r="B794" t="str">
            <v>Mechanic - Diesel Engine</v>
          </cell>
        </row>
        <row r="795">
          <cell r="B795" t="str">
            <v>Mechanic - Electrical</v>
          </cell>
        </row>
        <row r="796">
          <cell r="B796" t="str">
            <v>Mechanic - Engine</v>
          </cell>
        </row>
        <row r="797">
          <cell r="B797" t="str">
            <v>Mechanic - Gas Turbine</v>
          </cell>
        </row>
        <row r="798">
          <cell r="B798" t="str">
            <v>Mechanic - General</v>
          </cell>
        </row>
        <row r="799">
          <cell r="B799" t="str">
            <v>Mechanic - Heat Ventilation and Air Conditioning</v>
          </cell>
        </row>
        <row r="800">
          <cell r="B800" t="str">
            <v>Mechanic - Heavy Equipment</v>
          </cell>
        </row>
        <row r="801">
          <cell r="B801" t="str">
            <v>Mechanic - Instrumentation</v>
          </cell>
        </row>
        <row r="802">
          <cell r="B802" t="str">
            <v>Mechanic - Junior - Auto</v>
          </cell>
        </row>
        <row r="803">
          <cell r="B803" t="str">
            <v>Mechanic - Petrol</v>
          </cell>
        </row>
        <row r="804">
          <cell r="B804" t="str">
            <v>Mechanic - Rotary Equipment</v>
          </cell>
        </row>
        <row r="805">
          <cell r="B805" t="str">
            <v>Mechanic - Senior</v>
          </cell>
        </row>
        <row r="806">
          <cell r="B806" t="str">
            <v>Mechanic - Senior - Auto</v>
          </cell>
        </row>
        <row r="807">
          <cell r="B807" t="str">
            <v>Mechanic - Trainee</v>
          </cell>
        </row>
        <row r="808">
          <cell r="B808" t="str">
            <v>Mechanic - Valve</v>
          </cell>
        </row>
        <row r="809">
          <cell r="B809" t="str">
            <v>Mechanic Steam Turbine</v>
          </cell>
        </row>
        <row r="810">
          <cell r="B810" t="str">
            <v>Mill Wright Foreman</v>
          </cell>
        </row>
        <row r="811">
          <cell r="B811" t="str">
            <v>Nanny</v>
          </cell>
        </row>
        <row r="812">
          <cell r="B812" t="str">
            <v>Nurse</v>
          </cell>
        </row>
        <row r="813">
          <cell r="B813" t="str">
            <v>Nurse - Senior</v>
          </cell>
        </row>
        <row r="814">
          <cell r="B814" t="str">
            <v>Officer - Administration</v>
          </cell>
        </row>
        <row r="815">
          <cell r="B815" t="str">
            <v>Officer - Administration - Human Resources</v>
          </cell>
        </row>
        <row r="816">
          <cell r="B816" t="str">
            <v>Officer - Documents</v>
          </cell>
        </row>
        <row r="817">
          <cell r="B817" t="str">
            <v>Officer - Government Relations</v>
          </cell>
        </row>
        <row r="818">
          <cell r="B818" t="str">
            <v>Officer - Group - Safety</v>
          </cell>
        </row>
        <row r="819">
          <cell r="B819" t="str">
            <v>Officer - in - Charge</v>
          </cell>
        </row>
        <row r="820">
          <cell r="B820" t="str">
            <v>Officer - Junior - Administration</v>
          </cell>
        </row>
        <row r="821">
          <cell r="B821" t="str">
            <v>Officer - Junior - Projects Coordination</v>
          </cell>
        </row>
        <row r="822">
          <cell r="B822" t="str">
            <v>Officer - Junior - Proposal</v>
          </cell>
        </row>
        <row r="823">
          <cell r="B823" t="str">
            <v>Officer - Junior - Purchase</v>
          </cell>
        </row>
        <row r="824">
          <cell r="B824" t="str">
            <v>Officer - Logistic</v>
          </cell>
        </row>
        <row r="825">
          <cell r="B825" t="str">
            <v>Officer - Materials</v>
          </cell>
        </row>
        <row r="826">
          <cell r="B826" t="str">
            <v>Officer - Performance Development</v>
          </cell>
        </row>
        <row r="827">
          <cell r="B827" t="str">
            <v>Officer - Personnel</v>
          </cell>
        </row>
        <row r="828">
          <cell r="B828" t="str">
            <v>Officer - Purchase</v>
          </cell>
        </row>
        <row r="829">
          <cell r="B829" t="str">
            <v>Officer - Safety</v>
          </cell>
        </row>
        <row r="830">
          <cell r="B830" t="str">
            <v>Officer - Senior - Administration</v>
          </cell>
        </row>
        <row r="831">
          <cell r="B831" t="str">
            <v>Officer - Senior - Safety</v>
          </cell>
        </row>
        <row r="832">
          <cell r="B832" t="str">
            <v>Officer - Senior - Store</v>
          </cell>
        </row>
        <row r="833">
          <cell r="B833" t="str">
            <v>Officer - Stores</v>
          </cell>
        </row>
        <row r="834">
          <cell r="B834" t="str">
            <v>Officer - Trainee - Administration</v>
          </cell>
        </row>
        <row r="835">
          <cell r="B835" t="str">
            <v>Officer - Training</v>
          </cell>
        </row>
        <row r="836">
          <cell r="B836" t="str">
            <v>Operator</v>
          </cell>
        </row>
        <row r="837">
          <cell r="B837" t="str">
            <v>Operator - Automatic Computer Aided Design</v>
          </cell>
        </row>
        <row r="838">
          <cell r="B838" t="str">
            <v>Operator - Automatic Computer Aided Design - Electrical</v>
          </cell>
        </row>
        <row r="839">
          <cell r="B839" t="str">
            <v>Operator - Automatic Computer Aided Design - Mechanical</v>
          </cell>
        </row>
        <row r="840">
          <cell r="B840" t="str">
            <v>Operator - Backhoe</v>
          </cell>
        </row>
        <row r="841">
          <cell r="B841" t="str">
            <v>Operator - Building Maintenance Systems</v>
          </cell>
        </row>
        <row r="842">
          <cell r="B842" t="str">
            <v>Operator - Control Room</v>
          </cell>
        </row>
        <row r="843">
          <cell r="B843" t="str">
            <v>Operator - Control System</v>
          </cell>
        </row>
        <row r="844">
          <cell r="B844" t="str">
            <v>Operator - Crane</v>
          </cell>
        </row>
        <row r="845">
          <cell r="B845" t="str">
            <v>Operator - Crane &amp; Forklift</v>
          </cell>
        </row>
        <row r="846">
          <cell r="B846" t="str">
            <v>Operator - Electric Operated Overhead Crane</v>
          </cell>
        </row>
        <row r="847">
          <cell r="B847" t="str">
            <v>Operator - Equipment</v>
          </cell>
        </row>
        <row r="848">
          <cell r="B848" t="str">
            <v>Operator - Excavator</v>
          </cell>
        </row>
        <row r="849">
          <cell r="B849" t="str">
            <v>Operator - Field</v>
          </cell>
        </row>
        <row r="850">
          <cell r="B850" t="str">
            <v>Operator - Forklift</v>
          </cell>
        </row>
        <row r="851">
          <cell r="B851" t="str">
            <v>Operator - Heavy Equipment</v>
          </cell>
        </row>
        <row r="852">
          <cell r="B852" t="str">
            <v>Operator - Hydra Crane</v>
          </cell>
        </row>
        <row r="853">
          <cell r="B853" t="str">
            <v>Operator - Ice Plant</v>
          </cell>
        </row>
        <row r="854">
          <cell r="B854" t="str">
            <v>Operator - Lead</v>
          </cell>
        </row>
        <row r="855">
          <cell r="B855" t="str">
            <v>Operator - Machine</v>
          </cell>
        </row>
        <row r="856">
          <cell r="B856" t="str">
            <v>Operator - Machine - Computer Numerical Controlled</v>
          </cell>
        </row>
        <row r="857">
          <cell r="B857" t="str">
            <v>Operator - Manlift</v>
          </cell>
        </row>
        <row r="858">
          <cell r="B858" t="str">
            <v>Operator - Plant</v>
          </cell>
        </row>
        <row r="859">
          <cell r="B859" t="str">
            <v>Operator - Pumps</v>
          </cell>
        </row>
        <row r="860">
          <cell r="B860" t="str">
            <v>Operator - Senior - Machine</v>
          </cell>
        </row>
        <row r="861">
          <cell r="B861" t="str">
            <v>Operator - Sewage</v>
          </cell>
        </row>
        <row r="862">
          <cell r="B862" t="str">
            <v>Operator - Toploader</v>
          </cell>
        </row>
        <row r="863">
          <cell r="B863" t="str">
            <v>Operator - Utility</v>
          </cell>
        </row>
        <row r="864">
          <cell r="B864" t="str">
            <v>Operator - Utility Sewage</v>
          </cell>
        </row>
        <row r="865">
          <cell r="B865" t="str">
            <v>Operator - Utility Specialist</v>
          </cell>
        </row>
        <row r="866">
          <cell r="B866" t="str">
            <v>Operator - Welding</v>
          </cell>
        </row>
        <row r="867">
          <cell r="B867" t="str">
            <v>P.R.O. Assistant</v>
          </cell>
        </row>
        <row r="868">
          <cell r="B868" t="str">
            <v>Painter</v>
          </cell>
        </row>
        <row r="869">
          <cell r="B869" t="str">
            <v>Painter - Assistant</v>
          </cell>
        </row>
        <row r="870">
          <cell r="B870" t="str">
            <v>Painter - Auto Spray</v>
          </cell>
        </row>
        <row r="871">
          <cell r="B871" t="str">
            <v>Painter - Building</v>
          </cell>
        </row>
        <row r="872">
          <cell r="B872" t="str">
            <v>Painter - Senior</v>
          </cell>
        </row>
        <row r="873">
          <cell r="B873" t="str">
            <v>Painter - Spray</v>
          </cell>
        </row>
        <row r="874">
          <cell r="B874" t="str">
            <v>Peon</v>
          </cell>
        </row>
        <row r="875">
          <cell r="B875" t="str">
            <v>Permit Receiver</v>
          </cell>
        </row>
        <row r="876">
          <cell r="B876" t="str">
            <v>Personal Assistant</v>
          </cell>
        </row>
        <row r="877">
          <cell r="B877" t="str">
            <v>Personal Assistant to Chairman</v>
          </cell>
        </row>
        <row r="878">
          <cell r="B878" t="str">
            <v>Personal Financial Manager</v>
          </cell>
        </row>
        <row r="879">
          <cell r="B879" t="str">
            <v>Planner - Material</v>
          </cell>
        </row>
        <row r="880">
          <cell r="B880" t="str">
            <v>Planner - Projects</v>
          </cell>
        </row>
        <row r="881">
          <cell r="B881" t="str">
            <v>Planner - Technical - Lifting Operations</v>
          </cell>
        </row>
        <row r="882">
          <cell r="B882" t="str">
            <v>Planner - Urban Design</v>
          </cell>
        </row>
        <row r="883">
          <cell r="B883" t="str">
            <v>Planner &amp; Scheduler</v>
          </cell>
        </row>
        <row r="884">
          <cell r="B884" t="str">
            <v>Plumber</v>
          </cell>
        </row>
        <row r="885">
          <cell r="B885" t="str">
            <v>Plumber - Assistant</v>
          </cell>
        </row>
        <row r="886">
          <cell r="B886" t="str">
            <v>Plumber - Senior</v>
          </cell>
        </row>
        <row r="887">
          <cell r="B887" t="str">
            <v>Plumber / Helper</v>
          </cell>
        </row>
        <row r="888">
          <cell r="B888" t="str">
            <v>Production Worker</v>
          </cell>
        </row>
        <row r="889">
          <cell r="B889" t="str">
            <v>Programmer - Trainee Technician Support</v>
          </cell>
        </row>
        <row r="890">
          <cell r="B890" t="str">
            <v>Public Relation Officer</v>
          </cell>
        </row>
        <row r="891">
          <cell r="B891" t="str">
            <v>Public Relation Representative</v>
          </cell>
        </row>
        <row r="892">
          <cell r="B892" t="str">
            <v>Purchaser</v>
          </cell>
        </row>
        <row r="893">
          <cell r="B893" t="str">
            <v>Purchaser - Assistant</v>
          </cell>
        </row>
        <row r="894">
          <cell r="B894" t="str">
            <v>Purchaser - Material</v>
          </cell>
        </row>
        <row r="895">
          <cell r="B895" t="str">
            <v>Quality Controller</v>
          </cell>
        </row>
        <row r="896">
          <cell r="B896" t="str">
            <v>Receiving Clerk</v>
          </cell>
        </row>
        <row r="897">
          <cell r="B897" t="str">
            <v>Receptionist</v>
          </cell>
        </row>
        <row r="898">
          <cell r="B898" t="str">
            <v>Receptionist - Assistant Head</v>
          </cell>
        </row>
        <row r="899">
          <cell r="B899" t="str">
            <v>Receptionist - Head</v>
          </cell>
        </row>
        <row r="900">
          <cell r="B900" t="str">
            <v>Receptionist / Secretary</v>
          </cell>
        </row>
        <row r="901">
          <cell r="B901" t="str">
            <v>Receptionist/Office Assistant</v>
          </cell>
        </row>
        <row r="902">
          <cell r="B902" t="str">
            <v>Reinsurance Specialist</v>
          </cell>
        </row>
        <row r="903">
          <cell r="B903" t="str">
            <v>Representative</v>
          </cell>
        </row>
        <row r="904">
          <cell r="B904" t="str">
            <v>Reservation and Ticketing Executive - Junior</v>
          </cell>
        </row>
        <row r="905">
          <cell r="B905" t="str">
            <v>Reservation and Ticketing Executive - Senior</v>
          </cell>
        </row>
        <row r="906">
          <cell r="B906" t="str">
            <v>Rigger</v>
          </cell>
        </row>
        <row r="907">
          <cell r="B907" t="str">
            <v>Rigger - Scaffolder</v>
          </cell>
        </row>
        <row r="908">
          <cell r="B908" t="str">
            <v>Safety - Assistant</v>
          </cell>
        </row>
        <row r="909">
          <cell r="B909" t="str">
            <v>Safety Inspector</v>
          </cell>
        </row>
        <row r="910">
          <cell r="B910" t="str">
            <v>Safety Man</v>
          </cell>
        </row>
        <row r="911">
          <cell r="B911" t="str">
            <v>Safety Officer</v>
          </cell>
        </row>
        <row r="912">
          <cell r="B912" t="str">
            <v>Safety Officer - Senior</v>
          </cell>
        </row>
        <row r="913">
          <cell r="B913" t="str">
            <v>Sales Executive - Senior</v>
          </cell>
        </row>
        <row r="914">
          <cell r="B914" t="str">
            <v>Sales Representative</v>
          </cell>
        </row>
        <row r="915">
          <cell r="B915" t="str">
            <v>Sales Representative - Business Development</v>
          </cell>
        </row>
        <row r="916">
          <cell r="B916" t="str">
            <v>Salesman</v>
          </cell>
        </row>
        <row r="917">
          <cell r="B917" t="str">
            <v>Sand Blaster</v>
          </cell>
        </row>
        <row r="918">
          <cell r="B918" t="str">
            <v>Sand Blaster/Painter</v>
          </cell>
        </row>
        <row r="919">
          <cell r="B919" t="str">
            <v>Sandblaster/Painter</v>
          </cell>
        </row>
        <row r="920">
          <cell r="B920" t="str">
            <v>Sarang</v>
          </cell>
        </row>
        <row r="921">
          <cell r="B921" t="str">
            <v>Saudi Administrative - Assistant</v>
          </cell>
        </row>
        <row r="922">
          <cell r="B922" t="str">
            <v>Saudi Assistant</v>
          </cell>
        </row>
        <row r="923">
          <cell r="B923" t="str">
            <v>Saudi Projects Coordinator</v>
          </cell>
        </row>
        <row r="924">
          <cell r="B924" t="str">
            <v>Saudi Representative</v>
          </cell>
        </row>
        <row r="925">
          <cell r="B925" t="str">
            <v>Saudi Representative - Senior</v>
          </cell>
        </row>
        <row r="926">
          <cell r="B926" t="str">
            <v>Scaffolder</v>
          </cell>
        </row>
        <row r="927">
          <cell r="B927" t="str">
            <v>Scheduler</v>
          </cell>
        </row>
        <row r="928">
          <cell r="B928" t="str">
            <v>Scheduler/Supervisor</v>
          </cell>
        </row>
        <row r="929">
          <cell r="B929" t="str">
            <v>Seal Man</v>
          </cell>
        </row>
        <row r="930">
          <cell r="B930" t="str">
            <v>Secretary</v>
          </cell>
        </row>
        <row r="931">
          <cell r="B931" t="str">
            <v>Secretary - Arabic</v>
          </cell>
        </row>
        <row r="932">
          <cell r="B932" t="str">
            <v>Secretary - Assistant</v>
          </cell>
        </row>
        <row r="933">
          <cell r="B933" t="str">
            <v>Secretary - Clerk</v>
          </cell>
        </row>
        <row r="934">
          <cell r="B934" t="str">
            <v>Secretary - Executive</v>
          </cell>
        </row>
        <row r="935">
          <cell r="B935" t="str">
            <v>Secretary - Executive - Senior</v>
          </cell>
        </row>
        <row r="936">
          <cell r="B936" t="str">
            <v>Secretary - Executive &amp; Administrator</v>
          </cell>
        </row>
        <row r="937">
          <cell r="B937" t="str">
            <v>Secretary - Office</v>
          </cell>
        </row>
        <row r="938">
          <cell r="B938" t="str">
            <v>Secretary - Senior</v>
          </cell>
        </row>
        <row r="939">
          <cell r="B939" t="str">
            <v>Secretary - Technical</v>
          </cell>
        </row>
        <row r="940">
          <cell r="B940" t="str">
            <v>Secretary - Typist</v>
          </cell>
        </row>
        <row r="941">
          <cell r="B941" t="str">
            <v>Secretary Technical / Graphic Designer</v>
          </cell>
        </row>
        <row r="942">
          <cell r="B942" t="str">
            <v>Security</v>
          </cell>
        </row>
        <row r="943">
          <cell r="B943" t="str">
            <v>Security - Shift Leader</v>
          </cell>
        </row>
        <row r="944">
          <cell r="B944" t="str">
            <v>Security Guard</v>
          </cell>
        </row>
        <row r="945">
          <cell r="B945" t="str">
            <v>Senior Audit Assistant</v>
          </cell>
        </row>
        <row r="946">
          <cell r="B946" t="str">
            <v>Senior Designer</v>
          </cell>
        </row>
        <row r="947">
          <cell r="B947" t="str">
            <v>Senior Machinist</v>
          </cell>
        </row>
        <row r="948">
          <cell r="B948" t="str">
            <v>Senior Tis Inspector</v>
          </cell>
        </row>
        <row r="949">
          <cell r="B949" t="str">
            <v>Service Technician</v>
          </cell>
        </row>
        <row r="950">
          <cell r="B950" t="str">
            <v>Shop Helper</v>
          </cell>
        </row>
        <row r="951">
          <cell r="B951" t="str">
            <v>Software Developer</v>
          </cell>
        </row>
        <row r="952">
          <cell r="B952" t="str">
            <v>Specialist - Business Development</v>
          </cell>
        </row>
        <row r="953">
          <cell r="B953" t="str">
            <v>Specialist - Compensation and Benefits</v>
          </cell>
        </row>
        <row r="954">
          <cell r="B954" t="str">
            <v>Specialist - Contractors Classification</v>
          </cell>
        </row>
        <row r="955">
          <cell r="B955" t="str">
            <v>Specialist - Policy &amp; Compliance</v>
          </cell>
        </row>
        <row r="956">
          <cell r="B956" t="str">
            <v>Specialist - Training &amp; Development</v>
          </cell>
        </row>
        <row r="957">
          <cell r="B957" t="str">
            <v>Sports Leader</v>
          </cell>
        </row>
        <row r="958">
          <cell r="B958" t="str">
            <v>Sr. Mechanical Engineer I.&amp;C.</v>
          </cell>
        </row>
        <row r="959">
          <cell r="B959" t="str">
            <v>Sr. Mechanical Engr (Projects)</v>
          </cell>
        </row>
        <row r="960">
          <cell r="B960" t="str">
            <v>Steel Fixer</v>
          </cell>
        </row>
        <row r="961">
          <cell r="B961" t="str">
            <v>Steel man</v>
          </cell>
        </row>
        <row r="962">
          <cell r="B962" t="str">
            <v>Store in Charge</v>
          </cell>
        </row>
        <row r="963">
          <cell r="B963" t="str">
            <v>Store Keeper</v>
          </cell>
        </row>
        <row r="964">
          <cell r="B964" t="str">
            <v>Store Keeper - Senior</v>
          </cell>
        </row>
        <row r="965">
          <cell r="B965" t="str">
            <v>Store Keeper/Clerk</v>
          </cell>
        </row>
        <row r="966">
          <cell r="B966" t="str">
            <v>Store Keeper/Document Controller</v>
          </cell>
        </row>
        <row r="967">
          <cell r="B967" t="str">
            <v>Storekeeper - Assistant</v>
          </cell>
        </row>
        <row r="968">
          <cell r="B968" t="str">
            <v>Superintendent</v>
          </cell>
        </row>
        <row r="969">
          <cell r="B969" t="str">
            <v>Superintendent - Auto</v>
          </cell>
        </row>
        <row r="970">
          <cell r="B970" t="str">
            <v>Superintendent - Electrical</v>
          </cell>
        </row>
        <row r="971">
          <cell r="B971" t="str">
            <v>Superintendent - Instrumentation</v>
          </cell>
        </row>
        <row r="972">
          <cell r="B972" t="str">
            <v>Superintendent - Junior - Auto</v>
          </cell>
        </row>
        <row r="973">
          <cell r="B973" t="str">
            <v>Superintendent - Junior - Electrical</v>
          </cell>
        </row>
        <row r="974">
          <cell r="B974" t="str">
            <v>Superintendent - Junior - Instrumentation</v>
          </cell>
        </row>
        <row r="975">
          <cell r="B975" t="str">
            <v>Superintendent - Junior - Mechanical</v>
          </cell>
        </row>
        <row r="976">
          <cell r="B976" t="str">
            <v>Superintendent - Junior - Planning</v>
          </cell>
        </row>
        <row r="977">
          <cell r="B977" t="str">
            <v>Superintendent - Junior - Quality Assurance/Quality Control</v>
          </cell>
        </row>
        <row r="978">
          <cell r="B978" t="str">
            <v>Superintendent - Maintenance</v>
          </cell>
        </row>
        <row r="979">
          <cell r="B979" t="str">
            <v>Superintendent - Mechanical</v>
          </cell>
        </row>
        <row r="980">
          <cell r="B980" t="str">
            <v>Superintendent - Millwright</v>
          </cell>
        </row>
        <row r="981">
          <cell r="B981" t="str">
            <v>Superintendent - Piping</v>
          </cell>
        </row>
        <row r="982">
          <cell r="B982" t="str">
            <v>Superintendent - Quality Assurance/Quality Control</v>
          </cell>
        </row>
        <row r="983">
          <cell r="B983" t="str">
            <v>Superintendent - Security</v>
          </cell>
        </row>
        <row r="984">
          <cell r="B984" t="str">
            <v>Superintendent - Senior</v>
          </cell>
        </row>
        <row r="985">
          <cell r="B985" t="str">
            <v>Superintendent - Senior - Electrical</v>
          </cell>
        </row>
        <row r="986">
          <cell r="B986" t="str">
            <v>Superintendent - Senior - Instrumentation</v>
          </cell>
        </row>
        <row r="987">
          <cell r="B987" t="str">
            <v>Superintendent - Senior - Maintenance</v>
          </cell>
        </row>
        <row r="988">
          <cell r="B988" t="str">
            <v>Superintendent - Senior - Mechanical</v>
          </cell>
        </row>
        <row r="989">
          <cell r="B989" t="str">
            <v>Superintendent - Senior - Millwright</v>
          </cell>
        </row>
        <row r="990">
          <cell r="B990" t="str">
            <v>Superintendent - Senior - Piping</v>
          </cell>
        </row>
        <row r="991">
          <cell r="B991" t="str">
            <v>Superintendent - Senior - Planning</v>
          </cell>
        </row>
        <row r="992">
          <cell r="B992" t="str">
            <v>Superintendent - Senior - Safety</v>
          </cell>
        </row>
        <row r="993">
          <cell r="B993" t="str">
            <v>Superintendent - Senior - Welding</v>
          </cell>
        </row>
        <row r="994">
          <cell r="B994" t="str">
            <v>Superintendent - Shop</v>
          </cell>
        </row>
        <row r="995">
          <cell r="B995" t="str">
            <v>Superintendent - Structural Erection</v>
          </cell>
        </row>
        <row r="996">
          <cell r="B996" t="str">
            <v>Superintendent - Welding</v>
          </cell>
        </row>
        <row r="997">
          <cell r="B997" t="str">
            <v>Supervior - Senior - Painting</v>
          </cell>
        </row>
        <row r="998">
          <cell r="B998" t="str">
            <v>Supervisor</v>
          </cell>
        </row>
        <row r="999">
          <cell r="B999" t="str">
            <v>Supervisor - Appliance</v>
          </cell>
        </row>
        <row r="1000">
          <cell r="B1000" t="str">
            <v>Supervisor - Applications</v>
          </cell>
        </row>
        <row r="1001">
          <cell r="B1001" t="str">
            <v>Supervisor - Assistant</v>
          </cell>
        </row>
        <row r="1002">
          <cell r="B1002" t="str">
            <v>Supervisor - Auto</v>
          </cell>
        </row>
        <row r="1003">
          <cell r="B1003" t="str">
            <v>Supervisor - Carpenter</v>
          </cell>
        </row>
        <row r="1004">
          <cell r="B1004" t="str">
            <v>Supervisor - Civil</v>
          </cell>
        </row>
        <row r="1005">
          <cell r="B1005" t="str">
            <v>Supervisor - Concrete</v>
          </cell>
        </row>
        <row r="1006">
          <cell r="B1006" t="str">
            <v>Supervisor - Dispatch</v>
          </cell>
        </row>
        <row r="1007">
          <cell r="B1007" t="str">
            <v>Supervisor - Electrical</v>
          </cell>
        </row>
        <row r="1008">
          <cell r="B1008" t="str">
            <v>Supervisor - Electrical and Instrumentation</v>
          </cell>
        </row>
        <row r="1009">
          <cell r="B1009" t="str">
            <v>Supervisor - Fabricator/Welder</v>
          </cell>
        </row>
        <row r="1010">
          <cell r="B1010" t="str">
            <v>Supervisor - Garage</v>
          </cell>
        </row>
        <row r="1011">
          <cell r="B1011" t="str">
            <v>Supervisor - Gas Turbine</v>
          </cell>
        </row>
        <row r="1012">
          <cell r="B1012" t="str">
            <v>Supervisor - Golf Course</v>
          </cell>
        </row>
        <row r="1013">
          <cell r="B1013" t="str">
            <v>Supervisor - Heat Ventilation and Air Conditioning</v>
          </cell>
        </row>
        <row r="1014">
          <cell r="B1014" t="str">
            <v>Supervisor - Help Desk</v>
          </cell>
        </row>
        <row r="1015">
          <cell r="B1015" t="str">
            <v>Supervisor - Housing</v>
          </cell>
        </row>
        <row r="1016">
          <cell r="B1016" t="str">
            <v>Supervisor - Human Resources</v>
          </cell>
        </row>
        <row r="1017">
          <cell r="B1017" t="str">
            <v>Supervisor - Instrumentation</v>
          </cell>
        </row>
        <row r="1018">
          <cell r="B1018" t="str">
            <v>Supervisor - Janitorial</v>
          </cell>
        </row>
        <row r="1019">
          <cell r="B1019" t="str">
            <v>Supervisor - Junior</v>
          </cell>
        </row>
        <row r="1020">
          <cell r="B1020" t="str">
            <v>Supervisor - Junior - Auto</v>
          </cell>
        </row>
        <row r="1021">
          <cell r="B1021" t="str">
            <v>Supervisor - Junior - Electrical</v>
          </cell>
        </row>
        <row r="1022">
          <cell r="B1022" t="str">
            <v>Supervisor - Junior - Instrumentation</v>
          </cell>
        </row>
        <row r="1023">
          <cell r="B1023" t="str">
            <v>Supervisor - Junior - Mechanical</v>
          </cell>
        </row>
        <row r="1024">
          <cell r="B1024" t="str">
            <v>Supervisor - Junior - Piping</v>
          </cell>
        </row>
        <row r="1025">
          <cell r="B1025" t="str">
            <v>Supervisor - Junior - Quality Assurance/Quality Control</v>
          </cell>
        </row>
        <row r="1026">
          <cell r="B1026" t="str">
            <v>Supervisor - Junior - Scaffolding</v>
          </cell>
        </row>
        <row r="1027">
          <cell r="B1027" t="str">
            <v>Supervisor - Lab</v>
          </cell>
        </row>
        <row r="1028">
          <cell r="B1028" t="str">
            <v>Supervisor - Logistics</v>
          </cell>
        </row>
        <row r="1029">
          <cell r="B1029" t="str">
            <v>Supervisor - Maintenance</v>
          </cell>
        </row>
        <row r="1030">
          <cell r="B1030" t="str">
            <v>Supervisor - Material</v>
          </cell>
        </row>
        <row r="1031">
          <cell r="B1031" t="str">
            <v>Supervisor - Mechanical</v>
          </cell>
        </row>
        <row r="1032">
          <cell r="B1032" t="str">
            <v>Supervisor - Millwright</v>
          </cell>
        </row>
        <row r="1033">
          <cell r="B1033" t="str">
            <v>Supervisor - Office</v>
          </cell>
        </row>
        <row r="1034">
          <cell r="B1034" t="str">
            <v>Supervisor - Operations</v>
          </cell>
        </row>
        <row r="1035">
          <cell r="B1035" t="str">
            <v>Supervisor - Piping</v>
          </cell>
        </row>
        <row r="1036">
          <cell r="B1036" t="str">
            <v>Supervisor - Plant &amp; Saudi Coordinator</v>
          </cell>
        </row>
        <row r="1037">
          <cell r="B1037" t="str">
            <v>Supervisor - Projects</v>
          </cell>
        </row>
        <row r="1038">
          <cell r="B1038" t="str">
            <v>Supervisor - Projects - Mechanical</v>
          </cell>
        </row>
        <row r="1039">
          <cell r="B1039" t="str">
            <v>Supervisor - Quality Assurance/Quality Control</v>
          </cell>
        </row>
        <row r="1040">
          <cell r="B1040" t="str">
            <v>Supervisor - Quality Control</v>
          </cell>
        </row>
        <row r="1041">
          <cell r="B1041" t="str">
            <v>Supervisor - Recreation</v>
          </cell>
        </row>
        <row r="1042">
          <cell r="B1042" t="str">
            <v>Supervisor - Rigs</v>
          </cell>
        </row>
        <row r="1043">
          <cell r="B1043" t="str">
            <v>Supervisor - Rotor Equipment</v>
          </cell>
        </row>
        <row r="1044">
          <cell r="B1044" t="str">
            <v>Supervisor - Safety</v>
          </cell>
        </row>
        <row r="1045">
          <cell r="B1045" t="str">
            <v>Supervisor - Scaffolding</v>
          </cell>
        </row>
        <row r="1046">
          <cell r="B1046" t="str">
            <v>Supervisor - Security Guard</v>
          </cell>
        </row>
        <row r="1047">
          <cell r="B1047" t="str">
            <v>Supervisor - Senior</v>
          </cell>
        </row>
        <row r="1048">
          <cell r="B1048" t="str">
            <v>Supervisor - Senior - Auto</v>
          </cell>
        </row>
        <row r="1049">
          <cell r="B1049" t="str">
            <v>Supervisor - Senior - Electrical</v>
          </cell>
        </row>
        <row r="1050">
          <cell r="B1050" t="str">
            <v>Supervisor - Senior - Instrumentation</v>
          </cell>
        </row>
        <row r="1051">
          <cell r="B1051" t="str">
            <v>Supervisor - Senior - Mechanical</v>
          </cell>
        </row>
        <row r="1052">
          <cell r="B1052" t="str">
            <v>Supervisor - Senior - Millwright</v>
          </cell>
        </row>
        <row r="1053">
          <cell r="B1053" t="str">
            <v>Supervisor - Senior - Piping</v>
          </cell>
        </row>
        <row r="1054">
          <cell r="B1054" t="str">
            <v>Supervisor - Senior - Quality Assurance/Quality Control</v>
          </cell>
        </row>
        <row r="1055">
          <cell r="B1055" t="str">
            <v>Supervisor - Senior - Security</v>
          </cell>
        </row>
        <row r="1056">
          <cell r="B1056" t="str">
            <v>Supervisor - Senior - Stores</v>
          </cell>
        </row>
        <row r="1057">
          <cell r="B1057" t="str">
            <v>Supervisor - Senior - Structural</v>
          </cell>
        </row>
        <row r="1058">
          <cell r="B1058" t="str">
            <v>Supervisor - Senior - Welding</v>
          </cell>
        </row>
        <row r="1059">
          <cell r="B1059" t="str">
            <v>Supervisor - Stores</v>
          </cell>
        </row>
        <row r="1060">
          <cell r="B1060" t="str">
            <v>Supervisor - Trainee - Safety</v>
          </cell>
        </row>
        <row r="1061">
          <cell r="B1061" t="str">
            <v>Supervisor - Transport</v>
          </cell>
        </row>
        <row r="1062">
          <cell r="B1062" t="str">
            <v>Supervisor - Utility Operator</v>
          </cell>
        </row>
        <row r="1063">
          <cell r="B1063" t="str">
            <v>Supervisor - Welding</v>
          </cell>
        </row>
        <row r="1064">
          <cell r="B1064" t="str">
            <v>Supervisor - Work Controller</v>
          </cell>
        </row>
        <row r="1065">
          <cell r="B1065" t="str">
            <v>Supervisor - Workshop</v>
          </cell>
        </row>
        <row r="1066">
          <cell r="B1066" t="str">
            <v>Support Staff - Application Development</v>
          </cell>
        </row>
        <row r="1067">
          <cell r="B1067" t="str">
            <v>Support Staff - Enterprise Resource Planning</v>
          </cell>
        </row>
        <row r="1068">
          <cell r="B1068" t="str">
            <v>Surveyor</v>
          </cell>
        </row>
        <row r="1069">
          <cell r="B1069" t="str">
            <v>Surveyor - Assistant</v>
          </cell>
        </row>
        <row r="1070">
          <cell r="B1070" t="str">
            <v>Surveyor - Assistant - Trainee</v>
          </cell>
        </row>
        <row r="1071">
          <cell r="B1071" t="str">
            <v>Surveyor - Junior</v>
          </cell>
        </row>
        <row r="1072">
          <cell r="B1072" t="str">
            <v>Surveyor - Land - Trainee</v>
          </cell>
        </row>
        <row r="1073">
          <cell r="B1073" t="str">
            <v>Surveyor - Quantity</v>
          </cell>
        </row>
        <row r="1074">
          <cell r="B1074" t="str">
            <v>Surveyor - Senior</v>
          </cell>
        </row>
        <row r="1075">
          <cell r="B1075" t="str">
            <v>Sweeper</v>
          </cell>
        </row>
        <row r="1076">
          <cell r="B1076" t="str">
            <v>Systems Administrator</v>
          </cell>
        </row>
        <row r="1077">
          <cell r="B1077" t="str">
            <v>Systems Administrator - Assistant</v>
          </cell>
        </row>
        <row r="1078">
          <cell r="B1078" t="str">
            <v>Systems Analyst</v>
          </cell>
        </row>
        <row r="1079">
          <cell r="B1079" t="str">
            <v>Systems Engineer</v>
          </cell>
        </row>
        <row r="1080">
          <cell r="B1080" t="str">
            <v>Tailor</v>
          </cell>
        </row>
        <row r="1081">
          <cell r="B1081" t="str">
            <v>Technical Lead - Senior</v>
          </cell>
        </row>
        <row r="1082">
          <cell r="B1082" t="str">
            <v>Technical Support</v>
          </cell>
        </row>
        <row r="1083">
          <cell r="B1083" t="str">
            <v>Technical Support - Trainee</v>
          </cell>
        </row>
        <row r="1084">
          <cell r="B1084" t="str">
            <v>Technical Worker</v>
          </cell>
        </row>
        <row r="1085">
          <cell r="B1085" t="str">
            <v>Technician</v>
          </cell>
        </row>
        <row r="1086">
          <cell r="B1086" t="str">
            <v>Technician - Air Conditioning</v>
          </cell>
        </row>
        <row r="1087">
          <cell r="B1087" t="str">
            <v>Technician - Air Conditioning-Refrigerator</v>
          </cell>
        </row>
        <row r="1088">
          <cell r="B1088" t="str">
            <v>Technician - Appliance</v>
          </cell>
        </row>
        <row r="1089">
          <cell r="B1089" t="str">
            <v>Technician - Assistant</v>
          </cell>
        </row>
        <row r="1090">
          <cell r="B1090" t="str">
            <v>Technician - Assistant - Air Conditioning</v>
          </cell>
        </row>
        <row r="1091">
          <cell r="B1091" t="str">
            <v>Technician - Assistant - Electrical</v>
          </cell>
        </row>
        <row r="1092">
          <cell r="B1092" t="str">
            <v>Technician - Assistant - Instrumentation</v>
          </cell>
        </row>
        <row r="1093">
          <cell r="B1093" t="str">
            <v>Technician - Assistant - Quality Assurance/Quality Control</v>
          </cell>
        </row>
        <row r="1094">
          <cell r="B1094" t="str">
            <v>Technician - Assistant - Telephone</v>
          </cell>
        </row>
        <row r="1095">
          <cell r="B1095" t="str">
            <v>Technician - Auto - Air Conditioning</v>
          </cell>
        </row>
        <row r="1096">
          <cell r="B1096" t="str">
            <v>Technician - Bio Medical</v>
          </cell>
        </row>
        <row r="1097">
          <cell r="B1097" t="str">
            <v>Technician - Blast</v>
          </cell>
        </row>
        <row r="1098">
          <cell r="B1098" t="str">
            <v>Technician - Chiller</v>
          </cell>
        </row>
        <row r="1099">
          <cell r="B1099" t="str">
            <v>Technician - Chiller - Air Conditioning</v>
          </cell>
        </row>
        <row r="1100">
          <cell r="B1100" t="str">
            <v>Technician - Coating</v>
          </cell>
        </row>
        <row r="1101">
          <cell r="B1101" t="str">
            <v>Technician - Communication</v>
          </cell>
        </row>
        <row r="1102">
          <cell r="B1102" t="str">
            <v>Technician - Diesel Engine</v>
          </cell>
        </row>
        <row r="1103">
          <cell r="B1103" t="str">
            <v>Technician - Direct Digital Control</v>
          </cell>
        </row>
        <row r="1104">
          <cell r="B1104" t="str">
            <v>Technician - Electrical</v>
          </cell>
        </row>
        <row r="1105">
          <cell r="B1105" t="str">
            <v>Technician - Electrical - Appliances</v>
          </cell>
        </row>
        <row r="1106">
          <cell r="B1106" t="str">
            <v>Technician - Electro Medical</v>
          </cell>
        </row>
        <row r="1107">
          <cell r="B1107" t="str">
            <v>Technician - Electronic</v>
          </cell>
        </row>
        <row r="1108">
          <cell r="B1108" t="str">
            <v>Technician - Electronic - Assistant</v>
          </cell>
        </row>
        <row r="1109">
          <cell r="B1109" t="str">
            <v>Technician - Electronic-Sound</v>
          </cell>
        </row>
        <row r="1110">
          <cell r="B1110" t="str">
            <v>Technician - Fire Alarm</v>
          </cell>
        </row>
        <row r="1111">
          <cell r="B1111" t="str">
            <v>Technician - Gas Turbine</v>
          </cell>
        </row>
        <row r="1112">
          <cell r="B1112" t="str">
            <v>Technician - Heat Ventilation and Air Conditioning</v>
          </cell>
        </row>
        <row r="1113">
          <cell r="B1113" t="str">
            <v>Technician - Heat Ventilation and Air Conditioning - Chiller</v>
          </cell>
        </row>
        <row r="1114">
          <cell r="B1114" t="str">
            <v>Technician - High Voltage</v>
          </cell>
        </row>
        <row r="1115">
          <cell r="B1115" t="str">
            <v>Technician - Hospital Maintenance</v>
          </cell>
        </row>
        <row r="1116">
          <cell r="B1116" t="str">
            <v>Technician - Instrumentation</v>
          </cell>
        </row>
        <row r="1117">
          <cell r="B1117" t="str">
            <v>Technician - Junior - Instrumentation</v>
          </cell>
        </row>
        <row r="1118">
          <cell r="B1118" t="str">
            <v>Technician - Kitchen Equipment</v>
          </cell>
        </row>
        <row r="1119">
          <cell r="B1119" t="str">
            <v>Technician - Laboratory</v>
          </cell>
        </row>
        <row r="1120">
          <cell r="B1120" t="str">
            <v>Technician - Lead</v>
          </cell>
        </row>
        <row r="1121">
          <cell r="B1121" t="str">
            <v>Technician - Lead - Diesel Engine</v>
          </cell>
        </row>
        <row r="1122">
          <cell r="B1122" t="str">
            <v>Technician - Lead - Electrical</v>
          </cell>
        </row>
        <row r="1123">
          <cell r="B1123" t="str">
            <v>Technician - Lead - Instrumentation</v>
          </cell>
        </row>
        <row r="1124">
          <cell r="B1124" t="str">
            <v>Technician - Lead - Plasma</v>
          </cell>
        </row>
        <row r="1125">
          <cell r="B1125" t="str">
            <v>Technician - Lead - Turbine</v>
          </cell>
        </row>
        <row r="1126">
          <cell r="B1126" t="str">
            <v>Technician - Lead - Valve</v>
          </cell>
        </row>
        <row r="1127">
          <cell r="B1127" t="str">
            <v>Technician - Lead Maintenance</v>
          </cell>
        </row>
        <row r="1128">
          <cell r="B1128" t="str">
            <v>Technician - Lineman - Electrical</v>
          </cell>
        </row>
        <row r="1129">
          <cell r="B1129" t="str">
            <v>Technician - Maintenance</v>
          </cell>
        </row>
        <row r="1130">
          <cell r="B1130" t="str">
            <v>Technician - Mechanical</v>
          </cell>
        </row>
        <row r="1131">
          <cell r="B1131" t="str">
            <v>Technician - Medical</v>
          </cell>
        </row>
        <row r="1132">
          <cell r="B1132" t="str">
            <v>Technician - Millwright</v>
          </cell>
        </row>
        <row r="1133">
          <cell r="B1133" t="str">
            <v>Technician - Multi trade</v>
          </cell>
        </row>
        <row r="1134">
          <cell r="B1134" t="str">
            <v>Technician - Non Destructive Testing</v>
          </cell>
        </row>
        <row r="1135">
          <cell r="B1135" t="str">
            <v>Technician - Packing - Painter</v>
          </cell>
        </row>
        <row r="1136">
          <cell r="B1136" t="str">
            <v>Technician - Rotor Equipment</v>
          </cell>
        </row>
        <row r="1137">
          <cell r="B1137" t="str">
            <v>Technician - Safety</v>
          </cell>
        </row>
        <row r="1138">
          <cell r="B1138" t="str">
            <v>Technician - Senior</v>
          </cell>
        </row>
        <row r="1139">
          <cell r="B1139" t="str">
            <v>Technician - Senior - Electrical</v>
          </cell>
        </row>
        <row r="1140">
          <cell r="B1140" t="str">
            <v>Technician - Senior - Instrumentation</v>
          </cell>
        </row>
        <row r="1141">
          <cell r="B1141" t="str">
            <v>Technician - Telephone</v>
          </cell>
        </row>
        <row r="1142">
          <cell r="B1142" t="str">
            <v>Technician - Trainee</v>
          </cell>
        </row>
        <row r="1143">
          <cell r="B1143" t="str">
            <v>Technician - Turbine</v>
          </cell>
        </row>
        <row r="1144">
          <cell r="B1144" t="str">
            <v>Technician - Turbine/Coating</v>
          </cell>
        </row>
        <row r="1145">
          <cell r="B1145" t="str">
            <v>Technician - Valve</v>
          </cell>
        </row>
        <row r="1146">
          <cell r="B1146" t="str">
            <v>Telephone - Operator</v>
          </cell>
        </row>
        <row r="1147">
          <cell r="B1147" t="str">
            <v>Timekeeper/Clerk</v>
          </cell>
        </row>
        <row r="1148">
          <cell r="B1148" t="str">
            <v>Tire Man</v>
          </cell>
        </row>
        <row r="1149">
          <cell r="B1149" t="str">
            <v>Tis Clerk</v>
          </cell>
        </row>
        <row r="1150">
          <cell r="B1150" t="str">
            <v>Tis Helper</v>
          </cell>
        </row>
        <row r="1151">
          <cell r="B1151" t="str">
            <v>Tis Inspector</v>
          </cell>
        </row>
        <row r="1152">
          <cell r="B1152" t="str">
            <v>Tradesman - Multi Task</v>
          </cell>
        </row>
        <row r="1153">
          <cell r="B1153" t="str">
            <v>Trainee</v>
          </cell>
        </row>
        <row r="1154">
          <cell r="B1154" t="str">
            <v>Trainee - Safety</v>
          </cell>
        </row>
        <row r="1155">
          <cell r="B1155" t="str">
            <v>Trainer Sports</v>
          </cell>
        </row>
        <row r="1156">
          <cell r="B1156" t="str">
            <v>Trainer Squash</v>
          </cell>
        </row>
        <row r="1157">
          <cell r="B1157" t="str">
            <v>Translator</v>
          </cell>
        </row>
        <row r="1158">
          <cell r="B1158" t="str">
            <v>Translator - Arabic</v>
          </cell>
        </row>
        <row r="1159">
          <cell r="B1159" t="str">
            <v>Typist</v>
          </cell>
        </row>
        <row r="1160">
          <cell r="B1160" t="str">
            <v>Typist - Arabic</v>
          </cell>
        </row>
        <row r="1161">
          <cell r="B1161" t="str">
            <v>Typist / Assistant to Office</v>
          </cell>
        </row>
        <row r="1162">
          <cell r="B1162" t="str">
            <v>Upholsterer</v>
          </cell>
        </row>
        <row r="1163">
          <cell r="B1163" t="str">
            <v>W/L Operator</v>
          </cell>
        </row>
        <row r="1164">
          <cell r="B1164" t="str">
            <v>Waiter</v>
          </cell>
        </row>
        <row r="1165">
          <cell r="B1165" t="str">
            <v>Waiter - Assistant</v>
          </cell>
        </row>
        <row r="1166">
          <cell r="B1166" t="str">
            <v>Waiter - Head</v>
          </cell>
        </row>
        <row r="1167">
          <cell r="B1167" t="str">
            <v>Waiter - Head - Assistant</v>
          </cell>
        </row>
        <row r="1168">
          <cell r="B1168" t="str">
            <v>Waiter - Senior</v>
          </cell>
        </row>
        <row r="1169">
          <cell r="B1169" t="str">
            <v>Warehouse In Charge</v>
          </cell>
        </row>
        <row r="1170">
          <cell r="B1170" t="str">
            <v>Watchman</v>
          </cell>
        </row>
        <row r="1171">
          <cell r="B1171" t="str">
            <v>Web/Application Developer</v>
          </cell>
        </row>
        <row r="1172">
          <cell r="B1172" t="str">
            <v>Welder</v>
          </cell>
        </row>
        <row r="1173">
          <cell r="B1173" t="str">
            <v>Welder - 3G</v>
          </cell>
        </row>
        <row r="1174">
          <cell r="B1174" t="str">
            <v>Welder - 6G</v>
          </cell>
        </row>
        <row r="1175">
          <cell r="B1175" t="str">
            <v>Welder - Assistant</v>
          </cell>
        </row>
        <row r="1176">
          <cell r="B1176" t="str">
            <v>Welder - High Pressure</v>
          </cell>
        </row>
        <row r="1177">
          <cell r="B1177" t="str">
            <v>Welder - Pipe</v>
          </cell>
        </row>
        <row r="1178">
          <cell r="B1178" t="str">
            <v>Welder - Plate</v>
          </cell>
        </row>
        <row r="1179">
          <cell r="B1179" t="str">
            <v>Welder - Structural</v>
          </cell>
        </row>
        <row r="1180">
          <cell r="B1180" t="str">
            <v>Welder - Tig</v>
          </cell>
        </row>
        <row r="1181">
          <cell r="B1181" t="str">
            <v>Welder - Trainee</v>
          </cell>
        </row>
        <row r="1182">
          <cell r="B1182" t="str">
            <v>Yard Handler</v>
          </cell>
        </row>
      </sheetData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cro"/>
      <sheetName val="Micro"/>
      <sheetName val="EmployeeMaster"/>
      <sheetName val="MarketSalary"/>
      <sheetName val="BonusTable"/>
      <sheetName val="Attrition"/>
      <sheetName val="Globals"/>
      <sheetName val="Checks"/>
      <sheetName val="AttritionChart"/>
      <sheetName val="AttritionPivotData"/>
    </sheetNames>
    <sheetDataSet>
      <sheetData sheetId="0">
        <row r="11">
          <cell r="B11">
            <v>2013</v>
          </cell>
        </row>
      </sheetData>
      <sheetData sheetId="1" refreshError="1"/>
      <sheetData sheetId="2">
        <row r="12">
          <cell r="D12">
            <v>5130744</v>
          </cell>
          <cell r="E12">
            <v>7186456</v>
          </cell>
        </row>
        <row r="19">
          <cell r="D19">
            <v>50961</v>
          </cell>
        </row>
      </sheetData>
      <sheetData sheetId="3">
        <row r="6">
          <cell r="A6" t="str">
            <v>20Accountant3IN</v>
          </cell>
          <cell r="D6" t="str">
            <v>20Accountant3</v>
          </cell>
          <cell r="AM6">
            <v>3482</v>
          </cell>
          <cell r="AQ6">
            <v>4571</v>
          </cell>
          <cell r="AV6">
            <v>4571</v>
          </cell>
        </row>
        <row r="7">
          <cell r="D7" t="str">
            <v>20Accountant - Junior2</v>
          </cell>
          <cell r="AM7">
            <v>2966</v>
          </cell>
          <cell r="AQ7">
            <v>3893</v>
          </cell>
          <cell r="AV7">
            <v>3893</v>
          </cell>
        </row>
        <row r="8">
          <cell r="D8" t="str">
            <v>20Manager - Finance3</v>
          </cell>
          <cell r="AM8">
            <v>8525</v>
          </cell>
          <cell r="AQ8">
            <v>9164</v>
          </cell>
          <cell r="AV8">
            <v>9164</v>
          </cell>
        </row>
        <row r="9">
          <cell r="D9" t="str">
            <v>20Assistant to - Office/Office Boy1</v>
          </cell>
          <cell r="AM9">
            <v>665</v>
          </cell>
          <cell r="AQ9">
            <v>894</v>
          </cell>
          <cell r="AV9">
            <v>1788</v>
          </cell>
        </row>
        <row r="10">
          <cell r="D10" t="str">
            <v>20Hire Desk Controller3</v>
          </cell>
          <cell r="AM10">
            <v>3350</v>
          </cell>
          <cell r="AQ10">
            <v>4397</v>
          </cell>
          <cell r="AV10">
            <v>4397</v>
          </cell>
        </row>
        <row r="11">
          <cell r="D11" t="str">
            <v>20Saudi Representative2</v>
          </cell>
          <cell r="AM11">
            <v>3707</v>
          </cell>
          <cell r="AQ11">
            <v>4866</v>
          </cell>
          <cell r="AV11">
            <v>2433</v>
          </cell>
        </row>
        <row r="12">
          <cell r="D12" t="str">
            <v>20Assistant to - Office/Office Boy1</v>
          </cell>
          <cell r="AM12">
            <v>400</v>
          </cell>
          <cell r="AQ12">
            <v>600</v>
          </cell>
          <cell r="AV12">
            <v>600</v>
          </cell>
        </row>
        <row r="13">
          <cell r="D13" t="str">
            <v>20Accountant - Junior1</v>
          </cell>
          <cell r="AM13">
            <v>2400</v>
          </cell>
          <cell r="AQ13">
            <v>3150</v>
          </cell>
          <cell r="AV13">
            <v>1575</v>
          </cell>
        </row>
        <row r="14">
          <cell r="D14" t="str">
            <v>20Accountant3</v>
          </cell>
          <cell r="AM14">
            <v>7257</v>
          </cell>
          <cell r="AQ14">
            <v>5201</v>
          </cell>
          <cell r="AV14">
            <v>5201</v>
          </cell>
        </row>
        <row r="15">
          <cell r="D15" t="str">
            <v>20Saudi Representative3</v>
          </cell>
          <cell r="AM15">
            <v>1760</v>
          </cell>
          <cell r="AQ15">
            <v>2310</v>
          </cell>
          <cell r="AV15">
            <v>2310</v>
          </cell>
        </row>
        <row r="16">
          <cell r="D16" t="str">
            <v>20Hire Desk Controller1</v>
          </cell>
          <cell r="AM16">
            <v>0</v>
          </cell>
          <cell r="AQ16">
            <v>2812</v>
          </cell>
          <cell r="AV16">
            <v>2812</v>
          </cell>
        </row>
        <row r="17">
          <cell r="D17" t="str">
            <v>20Assistant to - Office/Office Boy1</v>
          </cell>
          <cell r="AM17">
            <v>673</v>
          </cell>
          <cell r="AQ17">
            <v>905</v>
          </cell>
          <cell r="AV17">
            <v>1810</v>
          </cell>
        </row>
        <row r="18">
          <cell r="D18" t="str">
            <v>20Administrator3</v>
          </cell>
          <cell r="AM18">
            <v>4112</v>
          </cell>
          <cell r="AQ18">
            <v>5397</v>
          </cell>
          <cell r="AV18">
            <v>5397</v>
          </cell>
        </row>
        <row r="19">
          <cell r="D19" t="str">
            <v>20Accountant - Projects2</v>
          </cell>
          <cell r="AM19">
            <v>3323</v>
          </cell>
          <cell r="AQ19">
            <v>4362</v>
          </cell>
          <cell r="AV19">
            <v>4362</v>
          </cell>
        </row>
        <row r="20">
          <cell r="D20" t="str">
            <v>20Accountant - Junior2</v>
          </cell>
          <cell r="AM20">
            <v>3087</v>
          </cell>
          <cell r="AQ20">
            <v>4052</v>
          </cell>
          <cell r="AV20">
            <v>4052</v>
          </cell>
        </row>
        <row r="21">
          <cell r="D21" t="str">
            <v>20Administrator2</v>
          </cell>
          <cell r="AM21">
            <v>2854</v>
          </cell>
          <cell r="AQ21">
            <v>3747</v>
          </cell>
          <cell r="AV21">
            <v>7494</v>
          </cell>
        </row>
        <row r="22">
          <cell r="D22" t="str">
            <v>20Mechanic3</v>
          </cell>
          <cell r="AM22">
            <v>0</v>
          </cell>
          <cell r="AQ22">
            <v>2538</v>
          </cell>
          <cell r="AV22">
            <v>1269</v>
          </cell>
        </row>
        <row r="23">
          <cell r="D23" t="str">
            <v>20Accountant - Junior3</v>
          </cell>
          <cell r="AM23">
            <v>2400</v>
          </cell>
          <cell r="AQ23">
            <v>3150</v>
          </cell>
          <cell r="AV23">
            <v>3150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cro"/>
      <sheetName val="EmployeeMaster"/>
      <sheetName val="MarketSalary"/>
      <sheetName val="Bonus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Sal(copy)"/>
      <sheetName val="Sorting Details"/>
      <sheetName val="Emp"/>
      <sheetName val="ALL"/>
      <sheetName val="SAL~GRADE~EMP COUNT(LINKED)"/>
      <sheetName val="Sheet2"/>
      <sheetName val="GRADING FINALISATION"/>
      <sheetName val="Grade&amp; C_code"/>
      <sheetName val="Grade &amp; C_Code~(Pivot)"/>
      <sheetName val="Grade.separate(LINKED)"/>
      <sheetName val="STND JB TLTL~EASOW 3RD SEPT~08"/>
      <sheetName val="CONSOLIDATED POSITION(PREV)"/>
      <sheetName val="Emp_Sal_Postn(Crnt~Lnkd~ALL)"/>
      <sheetName val="CONSOLIDATED POSITION&lt;08~06~08&gt;"/>
      <sheetName val="Allow for HO"/>
      <sheetName val="Allowance Summary 18-06-08(VVR)"/>
      <sheetName val="HO Technical Persons 14~06~08"/>
      <sheetName val="HO STAFF DETAILS"/>
      <sheetName val="Allow Smry 30-06-08(Cur~Dt)"/>
      <sheetName val="CONSIDERED~18-08-08"/>
      <sheetName val="STAFF WITH OT"/>
      <sheetName val="SAUDI"/>
      <sheetName val="Allow Recom~01~07~08."/>
      <sheetName val="QUR INCNTV"/>
      <sheetName val="Code(Lnk Emp~All)-Lnk~SAL~GRD"/>
      <sheetName val="CAT~SAL~GRADE LIST (EXPAT)"/>
      <sheetName val="Company list"/>
      <sheetName val="Menu"/>
      <sheetName val="NewJo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Information_1"/>
      <sheetName val="Data"/>
      <sheetName val="Control Panel"/>
      <sheetName val="Rezayat Structure"/>
      <sheetName val="By Nationality"/>
      <sheetName val="Nationality"/>
      <sheetName val="Sheet3"/>
      <sheetName val="EmpMaster_Median"/>
      <sheetName val="EmpMaster"/>
      <sheetName val="RezayatMinMax"/>
      <sheetName val="UniqueJobs_working"/>
      <sheetName val="Arab"/>
      <sheetName val="Eastern"/>
      <sheetName val="Saudi"/>
      <sheetName val="Western"/>
      <sheetName val="Sheet1"/>
      <sheetName val="Co_list"/>
      <sheetName val="Uniquejob_duplicate removed"/>
      <sheetName val="dr.taha"/>
      <sheetName val="Compa_Ratio"/>
      <sheetName val="Cat&amp;RCLMaint"/>
    </sheetNames>
    <sheetDataSet>
      <sheetData sheetId="0" refreshError="1"/>
      <sheetData sheetId="1">
        <row r="14958">
          <cell r="T14958">
            <v>1</v>
          </cell>
        </row>
        <row r="27086">
          <cell r="T27086">
            <v>1</v>
          </cell>
        </row>
        <row r="27087">
          <cell r="T27087">
            <v>5.0000000000000001E-3</v>
          </cell>
        </row>
      </sheetData>
      <sheetData sheetId="2" refreshError="1"/>
      <sheetData sheetId="3"/>
      <sheetData sheetId="4">
        <row r="1">
          <cell r="A1" t="str">
            <v>Saudi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rition Dashboard"/>
      <sheetName val="Attrition per Job Title"/>
      <sheetName val="Separations Data"/>
      <sheetName val="Active Employees Data"/>
      <sheetName val="Menus"/>
      <sheetName val="Extract_Separations"/>
      <sheetName val="Extract_Active Employees"/>
      <sheetName val="Sheet2"/>
      <sheetName val="Menu"/>
    </sheetNames>
    <sheetDataSet>
      <sheetData sheetId="0">
        <row r="4">
          <cell r="C4" t="str">
            <v>NCC - PPD</v>
          </cell>
        </row>
        <row r="5">
          <cell r="C5" t="str">
            <v>ALL</v>
          </cell>
          <cell r="J5" t="str">
            <v>ALL</v>
          </cell>
        </row>
        <row r="6">
          <cell r="C6" t="str">
            <v>ALL</v>
          </cell>
          <cell r="J6" t="str">
            <v>ALL</v>
          </cell>
        </row>
        <row r="7">
          <cell r="C7" t="str">
            <v>ALL</v>
          </cell>
          <cell r="J7" t="str">
            <v>Saudi</v>
          </cell>
        </row>
        <row r="8">
          <cell r="C8" t="str">
            <v>ALL</v>
          </cell>
          <cell r="J8" t="str">
            <v>ALL</v>
          </cell>
        </row>
      </sheetData>
      <sheetData sheetId="1">
        <row r="4">
          <cell r="G4" t="str">
            <v>NCC - Construction Division</v>
          </cell>
        </row>
        <row r="5">
          <cell r="G5" t="str">
            <v>ALL</v>
          </cell>
        </row>
        <row r="6">
          <cell r="G6" t="str">
            <v>ALL</v>
          </cell>
        </row>
        <row r="7">
          <cell r="G7" t="str">
            <v>ALL</v>
          </cell>
        </row>
        <row r="8">
          <cell r="G8" t="str">
            <v>ALL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ERS~2008"/>
      <sheetName val="STAFF ~2008"/>
      <sheetName val="SR.STAFF ~2008"/>
      <sheetName val="T&amp;D Proposal"/>
      <sheetName val="FINAL REV~2007 END~ STAFF"/>
      <sheetName val="MarketSalary"/>
      <sheetName val="Market Sal(copy)"/>
      <sheetName val="OT CALCULATION"/>
      <sheetName val="OT REV~MAR~08"/>
      <sheetName val="INTERIM RECOMMENDATION~MAY-08"/>
      <sheetName val="WELDER UPGRADATION~STP"/>
      <sheetName val="Allow Details~18-08-08."/>
      <sheetName val="Allow~Summry180808"/>
      <sheetName val="HO~Details~18-08-08."/>
      <sheetName val="Allow~Smry Final ~20-08-08"/>
      <sheetName val="Proj Allow Final~20-08-08"/>
      <sheetName val="QUR INCNTV"/>
      <sheetName val="Driver Upgradation~Oct-08"/>
      <sheetName val="HO~Emp~20.09~Rev.Prop.2008"/>
      <sheetName val="Site Emp~20.09~Rev.Prop.2008"/>
      <sheetName val="REV~2008 END~ STAFF "/>
      <sheetName val="EmployeeMaster~2008 Jan"/>
    </sheetNames>
    <sheetDataSet>
      <sheetData sheetId="0"/>
      <sheetData sheetId="1"/>
      <sheetData sheetId="2"/>
      <sheetData sheetId="3"/>
      <sheetData sheetId="4" refreshError="1">
        <row r="2290">
          <cell r="F2290" t="str">
            <v>A1</v>
          </cell>
          <cell r="J2290" t="str">
            <v>1200 - 2000</v>
          </cell>
        </row>
        <row r="2291">
          <cell r="F2291" t="str">
            <v>A2</v>
          </cell>
          <cell r="J2291" t="str">
            <v>2000 - 3200</v>
          </cell>
        </row>
        <row r="2292">
          <cell r="F2292" t="str">
            <v>A3</v>
          </cell>
          <cell r="J2292" t="str">
            <v>3300 - 5500</v>
          </cell>
        </row>
        <row r="2293">
          <cell r="F2293" t="str">
            <v>D1</v>
          </cell>
          <cell r="J2293" t="str">
            <v>1500 - 2000</v>
          </cell>
        </row>
        <row r="2294">
          <cell r="F2294" t="str">
            <v>D2</v>
          </cell>
          <cell r="J2294" t="str">
            <v>2000 - 3800</v>
          </cell>
        </row>
        <row r="2295">
          <cell r="F2295" t="str">
            <v>D3</v>
          </cell>
          <cell r="J2295" t="str">
            <v>3500 - 4500</v>
          </cell>
        </row>
        <row r="2296">
          <cell r="F2296" t="str">
            <v>D4</v>
          </cell>
          <cell r="J2296" t="str">
            <v>4000 - 6000</v>
          </cell>
        </row>
        <row r="2297">
          <cell r="F2297" t="str">
            <v>E1</v>
          </cell>
          <cell r="J2297" t="str">
            <v>1400 - 2000</v>
          </cell>
        </row>
        <row r="2298">
          <cell r="F2298" t="str">
            <v>E2</v>
          </cell>
          <cell r="J2298" t="str">
            <v>1800 - 2400</v>
          </cell>
        </row>
        <row r="2299">
          <cell r="F2299" t="str">
            <v>E3</v>
          </cell>
          <cell r="J2299" t="str">
            <v>2300 - 3500</v>
          </cell>
        </row>
        <row r="2300">
          <cell r="F2300" t="str">
            <v>E4</v>
          </cell>
          <cell r="J2300" t="str">
            <v>3000 - 5000</v>
          </cell>
        </row>
        <row r="2301">
          <cell r="F2301" t="str">
            <v>E5</v>
          </cell>
          <cell r="J2301" t="str">
            <v>4500 - 7000</v>
          </cell>
        </row>
        <row r="2302">
          <cell r="F2302" t="str">
            <v>E6</v>
          </cell>
          <cell r="J2302" t="str">
            <v>6500 - 9000</v>
          </cell>
        </row>
        <row r="2303">
          <cell r="F2303" t="str">
            <v>M1</v>
          </cell>
          <cell r="J2303" t="str">
            <v>7000 - 11000</v>
          </cell>
        </row>
        <row r="2305">
          <cell r="F2305" t="str">
            <v>M3</v>
          </cell>
          <cell r="J2305" t="str">
            <v>13000 - 18000</v>
          </cell>
        </row>
        <row r="2306">
          <cell r="F2306" t="str">
            <v>M4</v>
          </cell>
        </row>
        <row r="2307">
          <cell r="F2307" t="str">
            <v>M5</v>
          </cell>
        </row>
        <row r="2308">
          <cell r="F2308" t="str">
            <v>S1</v>
          </cell>
          <cell r="J2308" t="str">
            <v>1200 - 3000</v>
          </cell>
        </row>
        <row r="2309">
          <cell r="F2309" t="str">
            <v>S2</v>
          </cell>
          <cell r="J2309" t="str">
            <v>2000 - 4000</v>
          </cell>
        </row>
        <row r="2310">
          <cell r="F2310" t="str">
            <v>S3</v>
          </cell>
          <cell r="J2310" t="str">
            <v>3000 - 6000</v>
          </cell>
        </row>
        <row r="2311">
          <cell r="F2311" t="str">
            <v>SY1</v>
          </cell>
          <cell r="J2311" t="str">
            <v>1000 - 2000</v>
          </cell>
        </row>
        <row r="2312">
          <cell r="F2312" t="str">
            <v>SY 2</v>
          </cell>
          <cell r="J2312" t="str">
            <v>1600 - 3000</v>
          </cell>
        </row>
        <row r="2313">
          <cell r="F2313" t="str">
            <v>SY3</v>
          </cell>
          <cell r="J2313" t="str">
            <v>2400 - 5000</v>
          </cell>
        </row>
        <row r="2314">
          <cell r="F2314" t="str">
            <v>W1</v>
          </cell>
          <cell r="J2314" t="str">
            <v>400 - 550</v>
          </cell>
        </row>
        <row r="2315">
          <cell r="F2315" t="str">
            <v>W2</v>
          </cell>
          <cell r="J2315" t="str">
            <v>500 - 850</v>
          </cell>
        </row>
        <row r="2316">
          <cell r="F2316" t="str">
            <v>W3</v>
          </cell>
          <cell r="J2316" t="str">
            <v>800 - 1200</v>
          </cell>
        </row>
        <row r="2317">
          <cell r="F2317" t="str">
            <v>W4</v>
          </cell>
          <cell r="J2317" t="str">
            <v>1100 - 1600</v>
          </cell>
        </row>
        <row r="2318">
          <cell r="F2318" t="str">
            <v>W5</v>
          </cell>
          <cell r="J2318" t="str">
            <v>1500 - 2500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>
        <row r="6">
          <cell r="B6" t="str">
            <v>44Accountant1IN</v>
          </cell>
        </row>
        <row r="7">
          <cell r="B7" t="str">
            <v>44Accountant1IN</v>
          </cell>
        </row>
        <row r="8">
          <cell r="B8" t="str">
            <v>44Accountant1IN</v>
          </cell>
        </row>
        <row r="9">
          <cell r="B9" t="str">
            <v>44Accounts Assistant1IN</v>
          </cell>
        </row>
        <row r="10">
          <cell r="B10" t="str">
            <v>44Accounts Officer1IN</v>
          </cell>
        </row>
        <row r="11">
          <cell r="B11" t="str">
            <v>44Accounts Officer1IN</v>
          </cell>
        </row>
        <row r="12">
          <cell r="B12" t="str">
            <v>44Administration Assistant1SL</v>
          </cell>
        </row>
        <row r="13">
          <cell r="B13" t="str">
            <v>44Administration Assistant1NP</v>
          </cell>
        </row>
        <row r="14">
          <cell r="B14" t="str">
            <v>44Administration Assistant1IN</v>
          </cell>
        </row>
        <row r="15">
          <cell r="B15" t="str">
            <v>44Senior Administrative Assistant1IN</v>
          </cell>
        </row>
        <row r="16">
          <cell r="B16" t="str">
            <v>44Administration Assistant1IN</v>
          </cell>
        </row>
        <row r="17">
          <cell r="B17" t="str">
            <v>44Senior Administrative Assistant1IN</v>
          </cell>
        </row>
        <row r="18">
          <cell r="B18" t="str">
            <v>44Planning Assistant1IN</v>
          </cell>
        </row>
        <row r="19">
          <cell r="B19" t="str">
            <v>44Senior Administrative Assistant1IN</v>
          </cell>
        </row>
        <row r="20">
          <cell r="B20" t="str">
            <v>44Administration Officer1IN</v>
          </cell>
        </row>
        <row r="21">
          <cell r="B21" t="str">
            <v>44Administration Officer1IN</v>
          </cell>
        </row>
        <row r="22">
          <cell r="B22" t="str">
            <v>44Administration Officer1IN</v>
          </cell>
        </row>
        <row r="23">
          <cell r="B23" t="str">
            <v>44Administrative Assistant1KSA</v>
          </cell>
        </row>
        <row r="24">
          <cell r="B24" t="str">
            <v>44Administrative Assistant1KSA</v>
          </cell>
        </row>
        <row r="25">
          <cell r="B25" t="str">
            <v>44Administrative Assistant1KSA</v>
          </cell>
        </row>
        <row r="26">
          <cell r="B26" t="str">
            <v>44Administrative Assistant1KSA</v>
          </cell>
        </row>
        <row r="27">
          <cell r="B27" t="str">
            <v>44Administrative Assistant1KSA</v>
          </cell>
        </row>
        <row r="28">
          <cell r="B28" t="str">
            <v>44Administrative Assistant1KSA</v>
          </cell>
        </row>
        <row r="29">
          <cell r="B29" t="str">
            <v>44Administrative Assistant1KSA</v>
          </cell>
        </row>
        <row r="30">
          <cell r="B30" t="str">
            <v>44Administrative Assistant1KSA</v>
          </cell>
        </row>
        <row r="31">
          <cell r="B31" t="str">
            <v>44Administrative Assistant1KSA</v>
          </cell>
        </row>
        <row r="32">
          <cell r="B32" t="str">
            <v>44Administrative Assistant1KSA</v>
          </cell>
        </row>
        <row r="33">
          <cell r="B33" t="str">
            <v>44Administrative Assistant1KSA</v>
          </cell>
        </row>
        <row r="34">
          <cell r="B34" t="str">
            <v>44Administrative Assistant1KSA</v>
          </cell>
        </row>
        <row r="35">
          <cell r="B35" t="str">
            <v>44Administrative Assistant1KSA</v>
          </cell>
        </row>
        <row r="36">
          <cell r="B36" t="str">
            <v>44Assistant Administrative Officer1IN</v>
          </cell>
        </row>
        <row r="37">
          <cell r="B37" t="str">
            <v>44Assistant Administrative Officer1IN</v>
          </cell>
        </row>
        <row r="38">
          <cell r="B38" t="str">
            <v>44Assistant Administrative Officer1IN</v>
          </cell>
        </row>
        <row r="39">
          <cell r="B39" t="str">
            <v>44Assistant Administrative Officer1IN</v>
          </cell>
        </row>
        <row r="40">
          <cell r="B40" t="str">
            <v>44Assistant Auto Mechanic1IN</v>
          </cell>
        </row>
        <row r="41">
          <cell r="B41" t="str">
            <v>44Assistant Electrician1KSA</v>
          </cell>
        </row>
        <row r="42">
          <cell r="B42" t="str">
            <v>44Assistant Electrician1KSA</v>
          </cell>
        </row>
        <row r="43">
          <cell r="B43" t="str">
            <v>44Assistant Engineer (Mechanical)1IN</v>
          </cell>
        </row>
        <row r="44">
          <cell r="B44" t="str">
            <v>44Assistant Engineer (Mechanical)1IN</v>
          </cell>
        </row>
        <row r="45">
          <cell r="B45" t="str">
            <v>44Assistant Engineer (Mechanical)1IN</v>
          </cell>
        </row>
        <row r="46">
          <cell r="B46" t="str">
            <v>44Assistant Engineer (Mechanical)1IN</v>
          </cell>
        </row>
        <row r="47">
          <cell r="B47" t="str">
            <v>44Assistant Engineer (Mechanical)1IN</v>
          </cell>
        </row>
        <row r="48">
          <cell r="B48" t="str">
            <v>44Engineer (Mechanical)1IN</v>
          </cell>
        </row>
        <row r="49">
          <cell r="B49" t="str">
            <v>44Assistant Engineer (Mechanical)1IN</v>
          </cell>
        </row>
        <row r="50">
          <cell r="B50" t="str">
            <v>44Engineer (Mechanical)1IN</v>
          </cell>
        </row>
        <row r="51">
          <cell r="B51" t="str">
            <v>44Assistant Engineer (Piping)1IN</v>
          </cell>
        </row>
        <row r="52">
          <cell r="B52" t="str">
            <v>44Assistant Engineer (Piping)1IN</v>
          </cell>
        </row>
        <row r="53">
          <cell r="B53" t="str">
            <v>44Assistant Engineer (Piping)1IN</v>
          </cell>
        </row>
        <row r="54">
          <cell r="B54" t="str">
            <v>44Assistant Engineer (QA/QC)1IN</v>
          </cell>
        </row>
        <row r="55">
          <cell r="B55" t="str">
            <v>44Assistant Engineer (QA/QC)1IN</v>
          </cell>
        </row>
        <row r="56">
          <cell r="B56" t="str">
            <v>44Assistant Manager (Planning)1IN</v>
          </cell>
        </row>
        <row r="57">
          <cell r="B57" t="str">
            <v>44Assistant Manager (Planning)1IN</v>
          </cell>
        </row>
        <row r="58">
          <cell r="B58" t="str">
            <v>44Assistant Store Keeper1IN</v>
          </cell>
        </row>
        <row r="59">
          <cell r="B59" t="str">
            <v>44Store Keeper1IN</v>
          </cell>
        </row>
        <row r="60">
          <cell r="B60" t="str">
            <v>44Assistant Welder1KSA</v>
          </cell>
        </row>
        <row r="61">
          <cell r="B61" t="str">
            <v>44Auto Electrician1IN</v>
          </cell>
        </row>
        <row r="62">
          <cell r="B62" t="str">
            <v>44Auto Electrician1IN</v>
          </cell>
        </row>
        <row r="63">
          <cell r="B63" t="str">
            <v>44Auto Mechanic1IN</v>
          </cell>
        </row>
        <row r="64">
          <cell r="B64" t="str">
            <v>44Auto Mechanic1IN</v>
          </cell>
        </row>
        <row r="65">
          <cell r="B65" t="str">
            <v>44Auto Mechanic1KSA</v>
          </cell>
        </row>
        <row r="66">
          <cell r="B66" t="str">
            <v>44Autocad Draughtsman (Mechanical)1IN</v>
          </cell>
        </row>
        <row r="67">
          <cell r="B67" t="str">
            <v>44Autocad Operator1IN</v>
          </cell>
        </row>
        <row r="68">
          <cell r="B68" t="str">
            <v>44Cable Jointer1IN</v>
          </cell>
        </row>
        <row r="69">
          <cell r="B69" t="str">
            <v>44Cable Jointer1BG</v>
          </cell>
        </row>
        <row r="70">
          <cell r="B70" t="str">
            <v>44Cable Jointer1IN</v>
          </cell>
        </row>
        <row r="71">
          <cell r="B71" t="str">
            <v>44Cable Jointer1IN</v>
          </cell>
        </row>
        <row r="72">
          <cell r="B72" t="str">
            <v>44Senior Camp Attendant1BG</v>
          </cell>
        </row>
        <row r="73">
          <cell r="B73" t="str">
            <v>44Carpenter1IN</v>
          </cell>
        </row>
        <row r="74">
          <cell r="B74" t="str">
            <v>44Carpenter1IN</v>
          </cell>
        </row>
        <row r="75">
          <cell r="B75" t="str">
            <v>44Carpenter1IN</v>
          </cell>
        </row>
        <row r="76">
          <cell r="B76" t="str">
            <v>44Carpenter1IN</v>
          </cell>
        </row>
        <row r="77">
          <cell r="B77" t="str">
            <v>44Carpenter1IN</v>
          </cell>
        </row>
        <row r="78">
          <cell r="B78" t="str">
            <v>44Carpenter1IN</v>
          </cell>
        </row>
        <row r="79">
          <cell r="B79" t="str">
            <v>44Cladding Fitter1IN</v>
          </cell>
        </row>
        <row r="80">
          <cell r="B80" t="str">
            <v>44Cladding Fitter1IN</v>
          </cell>
        </row>
        <row r="81">
          <cell r="B81" t="str">
            <v>44Cladding Fitter1IN</v>
          </cell>
        </row>
        <row r="82">
          <cell r="B82" t="str">
            <v>44Cladding Fitter1IN</v>
          </cell>
        </row>
        <row r="83">
          <cell r="B83" t="str">
            <v>44Sheet Metal Fabricator1IN</v>
          </cell>
        </row>
        <row r="84">
          <cell r="B84" t="str">
            <v>44Cladding Fitter1IN</v>
          </cell>
        </row>
        <row r="85">
          <cell r="B85" t="str">
            <v>44Computer Clerk1KSA</v>
          </cell>
        </row>
        <row r="86">
          <cell r="B86" t="str">
            <v>44Construction Manager1IN</v>
          </cell>
        </row>
        <row r="87">
          <cell r="B87" t="str">
            <v>44Construction Manager1IN</v>
          </cell>
        </row>
        <row r="88">
          <cell r="B88" t="str">
            <v>44Construction Manager1IN</v>
          </cell>
        </row>
        <row r="89">
          <cell r="B89" t="str">
            <v>44Construction Manager2IN</v>
          </cell>
        </row>
        <row r="90">
          <cell r="B90" t="str">
            <v>44Construction Manager2IN</v>
          </cell>
        </row>
        <row r="91">
          <cell r="B91" t="str">
            <v>44Contract Administrator (Planning)1IN</v>
          </cell>
        </row>
        <row r="92">
          <cell r="B92" t="str">
            <v>44Cook1IN</v>
          </cell>
        </row>
        <row r="93">
          <cell r="B93" t="str">
            <v>44Cook1IN</v>
          </cell>
        </row>
        <row r="94">
          <cell r="B94" t="str">
            <v>44Cook1IN</v>
          </cell>
        </row>
        <row r="95">
          <cell r="B95" t="str">
            <v>44Cook1IN</v>
          </cell>
        </row>
        <row r="96">
          <cell r="B96" t="str">
            <v>44Cook1IN</v>
          </cell>
        </row>
        <row r="97">
          <cell r="B97" t="str">
            <v>44Cook1NP</v>
          </cell>
        </row>
        <row r="98">
          <cell r="B98" t="str">
            <v>44Cook1IN</v>
          </cell>
        </row>
        <row r="99">
          <cell r="B99" t="str">
            <v>44Cook1IN</v>
          </cell>
        </row>
        <row r="100">
          <cell r="B100" t="str">
            <v>44Cook1NP</v>
          </cell>
        </row>
        <row r="101">
          <cell r="B101" t="str">
            <v>44Cook Helper1NP</v>
          </cell>
        </row>
        <row r="102">
          <cell r="B102" t="str">
            <v>44Cook Helper1IN</v>
          </cell>
        </row>
        <row r="103">
          <cell r="B103" t="str">
            <v>44Cook Helper1IN</v>
          </cell>
        </row>
        <row r="104">
          <cell r="B104" t="str">
            <v>44Cook Helper1NP</v>
          </cell>
        </row>
        <row r="105">
          <cell r="B105" t="str">
            <v>44Office Boy1NP</v>
          </cell>
        </row>
        <row r="106">
          <cell r="B106" t="str">
            <v>44Cook Helper1NP</v>
          </cell>
        </row>
        <row r="107">
          <cell r="B107" t="str">
            <v>44Cook Helper1NP</v>
          </cell>
        </row>
        <row r="108">
          <cell r="B108" t="str">
            <v>44Cook Helper1NP</v>
          </cell>
        </row>
        <row r="109">
          <cell r="B109" t="str">
            <v>44Cook Helper1NP</v>
          </cell>
        </row>
        <row r="110">
          <cell r="B110" t="str">
            <v>44Light Vehicle Driver1NP</v>
          </cell>
        </row>
        <row r="111">
          <cell r="B111" t="str">
            <v>44Light Vehicle Driver1NP</v>
          </cell>
        </row>
        <row r="112">
          <cell r="B112" t="str">
            <v>44Cook Helper1BG</v>
          </cell>
        </row>
        <row r="113">
          <cell r="B113" t="str">
            <v>44Crane Operator1IN</v>
          </cell>
        </row>
        <row r="114">
          <cell r="B114" t="str">
            <v>44Crane Operator1IN</v>
          </cell>
        </row>
        <row r="115">
          <cell r="B115" t="str">
            <v>44Crane Operator1PH</v>
          </cell>
        </row>
        <row r="116">
          <cell r="B116" t="str">
            <v>44Crane Operator1PH</v>
          </cell>
        </row>
        <row r="117">
          <cell r="B117" t="str">
            <v>44Data Entry Operator1KSA</v>
          </cell>
        </row>
        <row r="118">
          <cell r="B118" t="str">
            <v>44Data Entry Operator1KSA</v>
          </cell>
        </row>
        <row r="119">
          <cell r="B119" t="str">
            <v>44Data Entry Operator1KSA</v>
          </cell>
        </row>
        <row r="120">
          <cell r="B120" t="str">
            <v>44Data Entry Operator1KSA</v>
          </cell>
        </row>
        <row r="121">
          <cell r="B121" t="str">
            <v>44Data Entry Operator1KSA</v>
          </cell>
        </row>
        <row r="122">
          <cell r="B122" t="str">
            <v>44Data Entry Operator1KSA</v>
          </cell>
        </row>
        <row r="123">
          <cell r="B123" t="str">
            <v>44Data Entry Operator1KSA</v>
          </cell>
        </row>
        <row r="124">
          <cell r="B124" t="str">
            <v>44Data Entry Operator1KSA</v>
          </cell>
        </row>
        <row r="125">
          <cell r="B125" t="str">
            <v>44Deputy Manager (Construction)1IN</v>
          </cell>
        </row>
        <row r="126">
          <cell r="B126" t="str">
            <v>44Deputy Manager (Project Coordination)1IN</v>
          </cell>
        </row>
        <row r="127">
          <cell r="B127" t="str">
            <v>44Deputy Manager (QA/QC)1IN</v>
          </cell>
        </row>
        <row r="128">
          <cell r="B128" t="str">
            <v>44Deputy Manager (Safety)1IN</v>
          </cell>
        </row>
        <row r="129">
          <cell r="B129" t="str">
            <v>44Diesel Mechanic1KSA</v>
          </cell>
        </row>
        <row r="130">
          <cell r="B130" t="str">
            <v>44Diesel Mechanic1KSA</v>
          </cell>
        </row>
        <row r="131">
          <cell r="B131" t="str">
            <v>44Document Controller1IN</v>
          </cell>
        </row>
        <row r="132">
          <cell r="B132" t="str">
            <v>44Electrical Fitter1IN</v>
          </cell>
        </row>
        <row r="133">
          <cell r="B133" t="str">
            <v>44Electrical Fitter1IN</v>
          </cell>
        </row>
        <row r="134">
          <cell r="B134" t="str">
            <v>44Electrical Fitter1KSA</v>
          </cell>
        </row>
        <row r="135">
          <cell r="B135" t="str">
            <v>44Electrical Fitter1KSA</v>
          </cell>
        </row>
        <row r="136">
          <cell r="B136" t="str">
            <v>44Electrician1BG</v>
          </cell>
        </row>
        <row r="137">
          <cell r="B137" t="str">
            <v>44Electrician1IN</v>
          </cell>
        </row>
        <row r="138">
          <cell r="B138" t="str">
            <v>44Electrician1IN</v>
          </cell>
        </row>
        <row r="139">
          <cell r="B139" t="str">
            <v>44Electrician1IN</v>
          </cell>
        </row>
        <row r="140">
          <cell r="B140" t="str">
            <v>44Electrician1IN</v>
          </cell>
        </row>
        <row r="141">
          <cell r="B141" t="str">
            <v>44Electrician1IN</v>
          </cell>
        </row>
        <row r="142">
          <cell r="B142" t="str">
            <v>44Electrician1IN</v>
          </cell>
        </row>
        <row r="143">
          <cell r="B143" t="str">
            <v>44Electrician1IN</v>
          </cell>
        </row>
        <row r="144">
          <cell r="B144" t="str">
            <v>44Electrician1IN</v>
          </cell>
        </row>
        <row r="145">
          <cell r="B145" t="str">
            <v>44Electrician1IN</v>
          </cell>
        </row>
        <row r="146">
          <cell r="B146" t="str">
            <v>44Electrician1IN</v>
          </cell>
        </row>
        <row r="147">
          <cell r="B147" t="str">
            <v>44Electrician1IN</v>
          </cell>
        </row>
        <row r="148">
          <cell r="B148" t="str">
            <v>44Electrician1IN</v>
          </cell>
        </row>
        <row r="149">
          <cell r="B149" t="str">
            <v>44Electrician1IN</v>
          </cell>
        </row>
        <row r="150">
          <cell r="B150" t="str">
            <v>44Electrician1IN</v>
          </cell>
        </row>
        <row r="151">
          <cell r="B151" t="str">
            <v>44Electrician1IN</v>
          </cell>
        </row>
        <row r="152">
          <cell r="B152" t="str">
            <v>44Electrician1IN</v>
          </cell>
        </row>
        <row r="153">
          <cell r="B153" t="str">
            <v>44Electrician1IN</v>
          </cell>
        </row>
        <row r="154">
          <cell r="B154" t="str">
            <v>44Electrician1IN</v>
          </cell>
        </row>
        <row r="155">
          <cell r="B155" t="str">
            <v>44Electrician1IN</v>
          </cell>
        </row>
        <row r="156">
          <cell r="B156" t="str">
            <v>44Electrician1IN</v>
          </cell>
        </row>
        <row r="157">
          <cell r="B157" t="str">
            <v>44Electrician1IN</v>
          </cell>
        </row>
        <row r="158">
          <cell r="B158" t="str">
            <v>44Electrician1IN</v>
          </cell>
        </row>
        <row r="159">
          <cell r="B159" t="str">
            <v>44Electrician1IN</v>
          </cell>
        </row>
        <row r="160">
          <cell r="B160" t="str">
            <v>44Electrician1IN</v>
          </cell>
        </row>
        <row r="161">
          <cell r="B161" t="str">
            <v>44Electrician1IN</v>
          </cell>
        </row>
        <row r="162">
          <cell r="B162" t="str">
            <v>44Electrician1IN</v>
          </cell>
        </row>
        <row r="163">
          <cell r="B163" t="str">
            <v>44Electrician1IN</v>
          </cell>
        </row>
        <row r="164">
          <cell r="B164" t="str">
            <v>44Electrician1IN</v>
          </cell>
        </row>
        <row r="165">
          <cell r="B165" t="str">
            <v>44Electrician1IN</v>
          </cell>
        </row>
        <row r="166">
          <cell r="B166" t="str">
            <v>44Electrician1IN</v>
          </cell>
        </row>
        <row r="167">
          <cell r="B167" t="str">
            <v>44Electrician1IN</v>
          </cell>
        </row>
        <row r="168">
          <cell r="B168" t="str">
            <v>44Electrician1IN</v>
          </cell>
        </row>
        <row r="169">
          <cell r="B169" t="str">
            <v>44Electrician1IN</v>
          </cell>
        </row>
        <row r="170">
          <cell r="B170" t="str">
            <v>44Electrician1IN</v>
          </cell>
        </row>
        <row r="171">
          <cell r="B171" t="str">
            <v>44Electrician1IN</v>
          </cell>
        </row>
        <row r="172">
          <cell r="B172" t="str">
            <v>44Electrician1IN</v>
          </cell>
        </row>
        <row r="173">
          <cell r="B173" t="str">
            <v>44Electrician1IN</v>
          </cell>
        </row>
        <row r="174">
          <cell r="B174" t="str">
            <v>44Electrician1IN</v>
          </cell>
        </row>
        <row r="175">
          <cell r="B175" t="str">
            <v>44Electrician1IN</v>
          </cell>
        </row>
        <row r="176">
          <cell r="B176" t="str">
            <v>44Electrician1IN</v>
          </cell>
        </row>
        <row r="177">
          <cell r="B177" t="str">
            <v>44Electrician1IN</v>
          </cell>
        </row>
        <row r="178">
          <cell r="B178" t="str">
            <v>44Electrician1IN</v>
          </cell>
        </row>
        <row r="179">
          <cell r="B179" t="str">
            <v>44Electrician1IN</v>
          </cell>
        </row>
        <row r="180">
          <cell r="B180" t="str">
            <v>44Electrician1IN</v>
          </cell>
        </row>
        <row r="181">
          <cell r="B181" t="str">
            <v>44Electrician1IN</v>
          </cell>
        </row>
        <row r="182">
          <cell r="B182" t="str">
            <v>44Electrician1IN</v>
          </cell>
        </row>
        <row r="183">
          <cell r="B183" t="str">
            <v>44Electrician1IN</v>
          </cell>
        </row>
        <row r="184">
          <cell r="B184" t="str">
            <v>44Electrician1IN</v>
          </cell>
        </row>
        <row r="185">
          <cell r="B185" t="str">
            <v>44Electrician1IN</v>
          </cell>
        </row>
        <row r="186">
          <cell r="B186" t="str">
            <v>44Electrician1IN</v>
          </cell>
        </row>
        <row r="187">
          <cell r="B187" t="str">
            <v>44Electrician1IN</v>
          </cell>
        </row>
        <row r="188">
          <cell r="B188" t="str">
            <v>44Electrician1IN</v>
          </cell>
        </row>
        <row r="189">
          <cell r="B189" t="str">
            <v>44Electrician1IN</v>
          </cell>
        </row>
        <row r="190">
          <cell r="B190" t="str">
            <v>44Electrician1IN</v>
          </cell>
        </row>
        <row r="191">
          <cell r="B191" t="str">
            <v>44Electrician1IN</v>
          </cell>
        </row>
        <row r="192">
          <cell r="B192" t="str">
            <v>44Electrician1IN</v>
          </cell>
        </row>
        <row r="193">
          <cell r="B193" t="str">
            <v>44Electrician1IN</v>
          </cell>
        </row>
        <row r="194">
          <cell r="B194" t="str">
            <v>44Electrician1IN</v>
          </cell>
        </row>
        <row r="195">
          <cell r="B195" t="str">
            <v>44Electrician1IN</v>
          </cell>
        </row>
        <row r="196">
          <cell r="B196" t="str">
            <v>44Electrician1IN</v>
          </cell>
        </row>
        <row r="197">
          <cell r="B197" t="str">
            <v>44Electrician1IN</v>
          </cell>
        </row>
        <row r="198">
          <cell r="B198" t="str">
            <v>44Electrician1IN</v>
          </cell>
        </row>
        <row r="199">
          <cell r="B199" t="str">
            <v>44Electrician1IN</v>
          </cell>
        </row>
        <row r="200">
          <cell r="B200" t="str">
            <v>44Electrician1IN</v>
          </cell>
        </row>
        <row r="201">
          <cell r="B201" t="str">
            <v>44Electrician1IN</v>
          </cell>
        </row>
        <row r="202">
          <cell r="B202" t="str">
            <v>44Electrician1IN</v>
          </cell>
        </row>
        <row r="203">
          <cell r="B203" t="str">
            <v>44Electrician1IN</v>
          </cell>
        </row>
        <row r="204">
          <cell r="B204" t="str">
            <v>44Electrician1IN</v>
          </cell>
        </row>
        <row r="205">
          <cell r="B205" t="str">
            <v>44Electrician1IN</v>
          </cell>
        </row>
        <row r="206">
          <cell r="B206" t="str">
            <v>44Electrician1IN</v>
          </cell>
        </row>
        <row r="207">
          <cell r="B207" t="str">
            <v>44Electrician1IN</v>
          </cell>
        </row>
        <row r="208">
          <cell r="B208" t="str">
            <v>44Electrician1IN</v>
          </cell>
        </row>
        <row r="209">
          <cell r="B209" t="str">
            <v>44Electrician1IN</v>
          </cell>
        </row>
        <row r="210">
          <cell r="B210" t="str">
            <v>44Electrician1IN</v>
          </cell>
        </row>
        <row r="211">
          <cell r="B211" t="str">
            <v>44Electrician1IN</v>
          </cell>
        </row>
        <row r="212">
          <cell r="B212" t="str">
            <v>44Electrician1IN</v>
          </cell>
        </row>
        <row r="213">
          <cell r="B213" t="str">
            <v>44Electrician1IN</v>
          </cell>
        </row>
        <row r="214">
          <cell r="B214" t="str">
            <v>44Electrician1BG</v>
          </cell>
        </row>
        <row r="215">
          <cell r="B215" t="str">
            <v>44Electrician1BG</v>
          </cell>
        </row>
        <row r="216">
          <cell r="B216" t="str">
            <v>44Electrician1BG</v>
          </cell>
        </row>
        <row r="217">
          <cell r="B217" t="str">
            <v>44Electrician1IN</v>
          </cell>
        </row>
        <row r="218">
          <cell r="B218" t="str">
            <v>44Electrician1IN</v>
          </cell>
        </row>
        <row r="219">
          <cell r="B219" t="str">
            <v>44Electrician1IN</v>
          </cell>
        </row>
        <row r="220">
          <cell r="B220" t="str">
            <v>44Electrician1BG</v>
          </cell>
        </row>
        <row r="221">
          <cell r="B221" t="str">
            <v>44Electrician1IN</v>
          </cell>
        </row>
        <row r="222">
          <cell r="B222" t="str">
            <v>44Electrician1IN</v>
          </cell>
        </row>
        <row r="223">
          <cell r="B223" t="str">
            <v>44Electrician1IN</v>
          </cell>
        </row>
        <row r="224">
          <cell r="B224" t="str">
            <v>44Electrician1BG</v>
          </cell>
        </row>
        <row r="225">
          <cell r="B225" t="str">
            <v>44Electrician1IN</v>
          </cell>
        </row>
        <row r="226">
          <cell r="B226" t="str">
            <v>44Electrician1BG</v>
          </cell>
        </row>
        <row r="227">
          <cell r="B227" t="str">
            <v>44Electrician1IN</v>
          </cell>
        </row>
        <row r="228">
          <cell r="B228" t="str">
            <v>44Electrician1IN</v>
          </cell>
        </row>
        <row r="229">
          <cell r="B229" t="str">
            <v>44Electrician1IN</v>
          </cell>
        </row>
        <row r="230">
          <cell r="B230" t="str">
            <v>44Electrician1IN</v>
          </cell>
        </row>
        <row r="231">
          <cell r="B231" t="str">
            <v>44Electrician1IN</v>
          </cell>
        </row>
        <row r="232">
          <cell r="B232" t="str">
            <v>44Electrician1IN</v>
          </cell>
        </row>
        <row r="233">
          <cell r="B233" t="str">
            <v>44Electrician1IN</v>
          </cell>
        </row>
        <row r="234">
          <cell r="B234" t="str">
            <v>44Electrician1IN</v>
          </cell>
        </row>
        <row r="235">
          <cell r="B235" t="str">
            <v>44Electrician1IN</v>
          </cell>
        </row>
        <row r="236">
          <cell r="B236" t="str">
            <v>44Electrician1KSA</v>
          </cell>
        </row>
        <row r="237">
          <cell r="B237" t="str">
            <v>44Electrician1KSA</v>
          </cell>
        </row>
        <row r="238">
          <cell r="B238" t="str">
            <v>44Electrician1KSA</v>
          </cell>
        </row>
        <row r="239">
          <cell r="B239" t="str">
            <v>44Engineer (Electrical)1IN</v>
          </cell>
        </row>
        <row r="240">
          <cell r="B240" t="str">
            <v>44Engineer (Electrical)1IN</v>
          </cell>
        </row>
        <row r="241">
          <cell r="B241" t="str">
            <v>44Engineer (Electrical)1IN</v>
          </cell>
        </row>
        <row r="242">
          <cell r="B242" t="str">
            <v>44Engineer (Electrical)1IN</v>
          </cell>
        </row>
        <row r="243">
          <cell r="B243" t="str">
            <v>44Engineer (Instrumentation)1IN</v>
          </cell>
        </row>
        <row r="244">
          <cell r="B244" t="str">
            <v>44Engineer (Mechanical)1IN</v>
          </cell>
        </row>
        <row r="245">
          <cell r="B245" t="str">
            <v>44Senior Engineer (Mechanical)1IN</v>
          </cell>
        </row>
        <row r="246">
          <cell r="B246" t="str">
            <v>44Engineer (Mechanical)1IN</v>
          </cell>
        </row>
        <row r="247">
          <cell r="B247" t="str">
            <v>44Engineer (Piping)1IN</v>
          </cell>
        </row>
        <row r="248">
          <cell r="B248" t="str">
            <v>44Senior Engineer (Mechanical)1IN</v>
          </cell>
        </row>
        <row r="249">
          <cell r="B249" t="str">
            <v>44Engineer (Piping)1IN</v>
          </cell>
        </row>
        <row r="250">
          <cell r="B250" t="str">
            <v>44Engineer (Planning)1IN</v>
          </cell>
        </row>
        <row r="251">
          <cell r="B251" t="str">
            <v>44Senior Engineer (Planning)1IN</v>
          </cell>
        </row>
        <row r="252">
          <cell r="B252" t="str">
            <v>44Engineer (QA/QC)1IN</v>
          </cell>
        </row>
        <row r="253">
          <cell r="B253" t="str">
            <v>44Engineer (QA/QC)1IN</v>
          </cell>
        </row>
        <row r="254">
          <cell r="B254" t="str">
            <v>44Engineer (QA/QC)1IN</v>
          </cell>
        </row>
        <row r="255">
          <cell r="B255" t="str">
            <v>44Engineer (QA/QC)1IN</v>
          </cell>
        </row>
        <row r="256">
          <cell r="B256" t="str">
            <v>44Engineer (QA/QC)1IN</v>
          </cell>
        </row>
        <row r="257">
          <cell r="B257" t="str">
            <v>44Equipment Operator1IN</v>
          </cell>
        </row>
        <row r="258">
          <cell r="B258" t="str">
            <v>44Equipment Operator1IN</v>
          </cell>
        </row>
        <row r="259">
          <cell r="B259" t="str">
            <v>44Equipment Operator1IN</v>
          </cell>
        </row>
        <row r="260">
          <cell r="B260" t="str">
            <v>44Equipment Operator1IN</v>
          </cell>
        </row>
        <row r="261">
          <cell r="B261" t="str">
            <v>44Erector1IN</v>
          </cell>
        </row>
        <row r="262">
          <cell r="B262" t="str">
            <v>44Fitter1IN</v>
          </cell>
        </row>
        <row r="263">
          <cell r="B263" t="str">
            <v>44Fitter1IN</v>
          </cell>
        </row>
        <row r="264">
          <cell r="B264" t="str">
            <v>44Fitter1IN</v>
          </cell>
        </row>
        <row r="265">
          <cell r="B265" t="str">
            <v>44Fitter1IN</v>
          </cell>
        </row>
        <row r="266">
          <cell r="B266" t="str">
            <v>44Fitter1IN</v>
          </cell>
        </row>
        <row r="267">
          <cell r="B267" t="str">
            <v>44Fitter1IN</v>
          </cell>
        </row>
        <row r="268">
          <cell r="B268" t="str">
            <v>44Foreman (Electrical)1IN</v>
          </cell>
        </row>
        <row r="269">
          <cell r="B269" t="str">
            <v>44Foreman (Electrical)1IN</v>
          </cell>
        </row>
        <row r="270">
          <cell r="B270" t="str">
            <v>44Foreman (Electrical)1IN</v>
          </cell>
        </row>
        <row r="271">
          <cell r="B271" t="str">
            <v>44Foreman (Electrical)1IN</v>
          </cell>
        </row>
        <row r="272">
          <cell r="B272" t="str">
            <v>44Foreman (Electrical)1IN</v>
          </cell>
        </row>
        <row r="273">
          <cell r="B273" t="str">
            <v>44Foreman (Electrical)1IN</v>
          </cell>
        </row>
        <row r="274">
          <cell r="B274" t="str">
            <v>44Senior Foreman (Electrical)1IN</v>
          </cell>
        </row>
        <row r="275">
          <cell r="B275" t="str">
            <v>44Senior Foreman (Electrical)1IN</v>
          </cell>
        </row>
        <row r="276">
          <cell r="B276" t="str">
            <v>44Senior Foreman (Electrical)1IN</v>
          </cell>
        </row>
        <row r="277">
          <cell r="B277" t="str">
            <v>44Foreman (Heavy Lift)1IN</v>
          </cell>
        </row>
        <row r="278">
          <cell r="B278" t="str">
            <v>44Supervisor (Heavy Lift)2IN</v>
          </cell>
        </row>
        <row r="279">
          <cell r="B279" t="str">
            <v>44Foreman (Instrumentation)1IN</v>
          </cell>
        </row>
        <row r="280">
          <cell r="B280" t="str">
            <v>44Senior Foreman (Instrumentation)1IN</v>
          </cell>
        </row>
        <row r="281">
          <cell r="B281" t="str">
            <v>44Foreman (Mechanical)1IN</v>
          </cell>
        </row>
        <row r="282">
          <cell r="B282" t="str">
            <v>44Foreman (Mechanical)1IN</v>
          </cell>
        </row>
        <row r="283">
          <cell r="B283" t="str">
            <v>44Foreman (Mechanical)1IN</v>
          </cell>
        </row>
        <row r="284">
          <cell r="B284" t="str">
            <v>44Senior Foreman (Mechanical)1PH</v>
          </cell>
        </row>
        <row r="285">
          <cell r="B285" t="str">
            <v>44Foreman (Mill Wright)1PH</v>
          </cell>
        </row>
        <row r="286">
          <cell r="B286" t="str">
            <v>44Foreman (Piping)1IN</v>
          </cell>
        </row>
        <row r="287">
          <cell r="B287" t="str">
            <v>44Senior Foreman (Piping)1IN</v>
          </cell>
        </row>
        <row r="288">
          <cell r="B288" t="str">
            <v>44Senior Foreman (Piping)1IN</v>
          </cell>
        </row>
        <row r="289">
          <cell r="B289" t="str">
            <v>44Foreman (Rigging)1IN</v>
          </cell>
        </row>
        <row r="290">
          <cell r="B290" t="str">
            <v>44Foreman (Scaffolding)1PH</v>
          </cell>
        </row>
        <row r="291">
          <cell r="B291" t="str">
            <v>44Senior Foreman (Welding)1IN</v>
          </cell>
        </row>
        <row r="292">
          <cell r="B292" t="str">
            <v>44Senior Foreman (Welding)1PH</v>
          </cell>
        </row>
        <row r="293">
          <cell r="B293" t="str">
            <v>44Forklift Operator1IN</v>
          </cell>
        </row>
        <row r="294">
          <cell r="B294" t="str">
            <v>44Forklift Operator1IN</v>
          </cell>
        </row>
        <row r="295">
          <cell r="B295" t="str">
            <v>44Forklift Operator1PH</v>
          </cell>
        </row>
        <row r="296">
          <cell r="B296" t="str">
            <v>44Forklift Operator1KSA</v>
          </cell>
        </row>
        <row r="297">
          <cell r="B297" t="str">
            <v>44General Mechanic1KSA</v>
          </cell>
        </row>
        <row r="298">
          <cell r="B298" t="str">
            <v>44General Mechanic1KSA</v>
          </cell>
        </row>
        <row r="299">
          <cell r="B299" t="str">
            <v>44General Mechanic1KSA</v>
          </cell>
        </row>
        <row r="300">
          <cell r="B300" t="str">
            <v>44Tig Welder1BG</v>
          </cell>
        </row>
        <row r="301">
          <cell r="B301" t="str">
            <v>44Tig Welder1IN</v>
          </cell>
        </row>
        <row r="302">
          <cell r="B302" t="str">
            <v>44Tig Welder1IN</v>
          </cell>
        </row>
        <row r="303">
          <cell r="B303" t="str">
            <v>44Tig Welder1IN</v>
          </cell>
        </row>
        <row r="304">
          <cell r="B304" t="str">
            <v>44Heavy Vehicle Driver1SL</v>
          </cell>
        </row>
        <row r="305">
          <cell r="B305" t="str">
            <v>44Heavy Vehicle Driver1SL</v>
          </cell>
        </row>
        <row r="306">
          <cell r="B306" t="str">
            <v>44Heavy Vehicle Driver1SL</v>
          </cell>
        </row>
        <row r="307">
          <cell r="B307" t="str">
            <v>44Heavy Vehicle Driver1SL</v>
          </cell>
        </row>
        <row r="308">
          <cell r="B308" t="str">
            <v>44Heavy Vehicle Driver1SL</v>
          </cell>
        </row>
        <row r="309">
          <cell r="B309" t="str">
            <v>44Heavy Vehicle Driver1SL</v>
          </cell>
        </row>
        <row r="310">
          <cell r="B310" t="str">
            <v>44Heavy Vehicle Driver1SL</v>
          </cell>
        </row>
        <row r="311">
          <cell r="B311" t="str">
            <v>44Heavy Vehicle Driver1SL</v>
          </cell>
        </row>
        <row r="312">
          <cell r="B312" t="str">
            <v>44Heavy Vehicle Driver1SL</v>
          </cell>
        </row>
        <row r="313">
          <cell r="B313" t="str">
            <v>44Heavy Vehicle Driver1SL</v>
          </cell>
        </row>
        <row r="314">
          <cell r="B314" t="str">
            <v>44Heavy Vehicle Driver1PH</v>
          </cell>
        </row>
        <row r="315">
          <cell r="B315" t="str">
            <v>44Heavy Vehicle Driver1IN</v>
          </cell>
        </row>
        <row r="316">
          <cell r="B316" t="str">
            <v>44Heavy Vehicle Driver1IN</v>
          </cell>
        </row>
        <row r="317">
          <cell r="B317" t="str">
            <v>44Heavy Vehicle Driver1NP</v>
          </cell>
        </row>
        <row r="318">
          <cell r="B318" t="str">
            <v>44Heavy Vehicle Driver1NP</v>
          </cell>
        </row>
        <row r="319">
          <cell r="B319" t="str">
            <v>44Heavy Vehicle Driver1NP</v>
          </cell>
        </row>
        <row r="320">
          <cell r="B320" t="str">
            <v>44Heavy Vehicle Driver1SL</v>
          </cell>
        </row>
        <row r="321">
          <cell r="B321" t="str">
            <v>44Heavy Vehicle Driver1NP</v>
          </cell>
        </row>
        <row r="322">
          <cell r="B322" t="str">
            <v>44Heavy Vehicle Driver1NP</v>
          </cell>
        </row>
        <row r="323">
          <cell r="B323" t="str">
            <v>44Heavy Vehicle Driver1NP</v>
          </cell>
        </row>
        <row r="324">
          <cell r="B324" t="str">
            <v>44Heavy Vehicle Driver1NP</v>
          </cell>
        </row>
        <row r="325">
          <cell r="B325" t="str">
            <v>44Heavy Vehicle Driver1NP</v>
          </cell>
        </row>
        <row r="326">
          <cell r="B326" t="str">
            <v>44Heavy Vehicle Driver1PH</v>
          </cell>
        </row>
        <row r="327">
          <cell r="B327" t="str">
            <v>44Heavy Vehicle Driver1IN</v>
          </cell>
        </row>
        <row r="328">
          <cell r="B328" t="str">
            <v>44Equipment Operator1SL</v>
          </cell>
        </row>
        <row r="329">
          <cell r="B329" t="str">
            <v>44Heavy Vehicle Driver1NP</v>
          </cell>
        </row>
        <row r="330">
          <cell r="B330" t="str">
            <v>44Heavy Vehicle Driver1NP</v>
          </cell>
        </row>
        <row r="331">
          <cell r="B331" t="str">
            <v>44Heavy Vehicle Driver1IN</v>
          </cell>
        </row>
        <row r="332">
          <cell r="B332" t="str">
            <v>44Heavy Vehicle Driver1IN</v>
          </cell>
        </row>
        <row r="333">
          <cell r="B333" t="str">
            <v>44Heavy Vehicle Driver1IN</v>
          </cell>
        </row>
        <row r="334">
          <cell r="B334" t="str">
            <v>44Heavy Vehicle Driver1BG</v>
          </cell>
        </row>
        <row r="335">
          <cell r="B335" t="str">
            <v>44Heavy Vehicle Driver1IN</v>
          </cell>
        </row>
        <row r="336">
          <cell r="B336" t="str">
            <v>44Equipment Operator1PH</v>
          </cell>
        </row>
        <row r="337">
          <cell r="B337" t="str">
            <v>44Heavy Vehicle Driver1PH</v>
          </cell>
        </row>
        <row r="338">
          <cell r="B338" t="str">
            <v>44Heavy Vehicle Driver1KSA</v>
          </cell>
        </row>
        <row r="339">
          <cell r="B339" t="str">
            <v>44Heavy Vehicle Driver1KSA</v>
          </cell>
        </row>
        <row r="340">
          <cell r="B340" t="str">
            <v>44Heavy Vehicle Driver1KSA</v>
          </cell>
        </row>
        <row r="341">
          <cell r="B341" t="str">
            <v>44Heavy Vehicle Driver1KSA</v>
          </cell>
        </row>
        <row r="342">
          <cell r="B342" t="str">
            <v>44Heavy Vehicle Driver1KSA</v>
          </cell>
        </row>
        <row r="343">
          <cell r="B343" t="str">
            <v>44Heavy Vehicle Driver1KSA</v>
          </cell>
        </row>
        <row r="344">
          <cell r="B344" t="str">
            <v>44Heavy Vehicle Driver1KSA</v>
          </cell>
        </row>
        <row r="345">
          <cell r="B345" t="str">
            <v>44Heavy Vehicle Driver1KSA</v>
          </cell>
        </row>
        <row r="346">
          <cell r="B346" t="str">
            <v>44Heavy Vehicle Driver1KSA</v>
          </cell>
        </row>
        <row r="347">
          <cell r="B347" t="str">
            <v>44Heavy Vehicle Driver1KSA</v>
          </cell>
        </row>
        <row r="348">
          <cell r="B348" t="str">
            <v>44Heavy Vehicle Driver1KSA</v>
          </cell>
        </row>
        <row r="349">
          <cell r="B349" t="str">
            <v>44Heavy Vehicle Driver1KSA</v>
          </cell>
        </row>
        <row r="350">
          <cell r="B350" t="str">
            <v>44Heavy Vehicle Driver1KSA</v>
          </cell>
        </row>
        <row r="351">
          <cell r="B351" t="str">
            <v>44Helper1BG</v>
          </cell>
        </row>
        <row r="352">
          <cell r="B352" t="str">
            <v>44Helper1BG</v>
          </cell>
        </row>
        <row r="353">
          <cell r="B353" t="str">
            <v>44Helper1IN</v>
          </cell>
        </row>
        <row r="354">
          <cell r="B354" t="str">
            <v>44Helper1IN</v>
          </cell>
        </row>
        <row r="355">
          <cell r="B355" t="str">
            <v>44Helper1IN</v>
          </cell>
        </row>
        <row r="356">
          <cell r="B356" t="str">
            <v>44Helper1NP</v>
          </cell>
        </row>
        <row r="357">
          <cell r="B357" t="str">
            <v>44Helper1NP</v>
          </cell>
        </row>
        <row r="358">
          <cell r="B358" t="str">
            <v>44Helper1IN</v>
          </cell>
        </row>
        <row r="359">
          <cell r="B359" t="str">
            <v>44Helper1IN</v>
          </cell>
        </row>
        <row r="360">
          <cell r="B360" t="str">
            <v>44Helper1IN</v>
          </cell>
        </row>
        <row r="361">
          <cell r="B361" t="str">
            <v>44Helper1IN</v>
          </cell>
        </row>
        <row r="362">
          <cell r="B362" t="str">
            <v>44Helper1IN</v>
          </cell>
        </row>
        <row r="363">
          <cell r="B363" t="str">
            <v>44Helper1IN</v>
          </cell>
        </row>
        <row r="364">
          <cell r="B364" t="str">
            <v>44Helper1IN</v>
          </cell>
        </row>
        <row r="365">
          <cell r="B365" t="str">
            <v>44Helper1IN</v>
          </cell>
        </row>
        <row r="366">
          <cell r="B366" t="str">
            <v>44Helper1IN</v>
          </cell>
        </row>
        <row r="367">
          <cell r="B367" t="str">
            <v>44Helper1IN</v>
          </cell>
        </row>
        <row r="368">
          <cell r="B368" t="str">
            <v>44Helper1IN</v>
          </cell>
        </row>
        <row r="369">
          <cell r="B369" t="str">
            <v>44Helper1IN</v>
          </cell>
        </row>
        <row r="370">
          <cell r="B370" t="str">
            <v>44Helper1IN</v>
          </cell>
        </row>
        <row r="371">
          <cell r="B371" t="str">
            <v>44Helper1IN</v>
          </cell>
        </row>
        <row r="372">
          <cell r="B372" t="str">
            <v>44Helper1IN</v>
          </cell>
        </row>
        <row r="373">
          <cell r="B373" t="str">
            <v>44Helper1IN</v>
          </cell>
        </row>
        <row r="374">
          <cell r="B374" t="str">
            <v>44Helper1IN</v>
          </cell>
        </row>
        <row r="375">
          <cell r="B375" t="str">
            <v>44Helper1IN</v>
          </cell>
        </row>
        <row r="376">
          <cell r="B376" t="str">
            <v>44Helper1IN</v>
          </cell>
        </row>
        <row r="377">
          <cell r="B377" t="str">
            <v>44Helper1IN</v>
          </cell>
        </row>
        <row r="378">
          <cell r="B378" t="str">
            <v>44Helper1IN</v>
          </cell>
        </row>
        <row r="379">
          <cell r="B379" t="str">
            <v>44Helper1IN</v>
          </cell>
        </row>
        <row r="380">
          <cell r="B380" t="str">
            <v>44Helper1IN</v>
          </cell>
        </row>
        <row r="381">
          <cell r="B381" t="str">
            <v>44Helper1BG</v>
          </cell>
        </row>
        <row r="382">
          <cell r="B382" t="str">
            <v>44Helper1BG</v>
          </cell>
        </row>
        <row r="383">
          <cell r="B383" t="str">
            <v>44Helper1BG</v>
          </cell>
        </row>
        <row r="384">
          <cell r="B384" t="str">
            <v>44Helper1BG</v>
          </cell>
        </row>
        <row r="385">
          <cell r="B385" t="str">
            <v>44Helper1BG</v>
          </cell>
        </row>
        <row r="386">
          <cell r="B386" t="str">
            <v>44Helper1BG</v>
          </cell>
        </row>
        <row r="387">
          <cell r="B387" t="str">
            <v>44Helper1BG</v>
          </cell>
        </row>
        <row r="388">
          <cell r="B388" t="str">
            <v>44Helper1BG</v>
          </cell>
        </row>
        <row r="389">
          <cell r="B389" t="str">
            <v>44Helper1BG</v>
          </cell>
        </row>
        <row r="390">
          <cell r="B390" t="str">
            <v>44Helper1BG</v>
          </cell>
        </row>
        <row r="391">
          <cell r="B391" t="str">
            <v>44Helper1BG</v>
          </cell>
        </row>
        <row r="392">
          <cell r="B392" t="str">
            <v>44Helper1BG</v>
          </cell>
        </row>
        <row r="393">
          <cell r="B393" t="str">
            <v>44Helper1BG</v>
          </cell>
        </row>
        <row r="394">
          <cell r="B394" t="str">
            <v>44Helper1BG</v>
          </cell>
        </row>
        <row r="395">
          <cell r="B395" t="str">
            <v>44Helper1BG</v>
          </cell>
        </row>
        <row r="396">
          <cell r="B396" t="str">
            <v>44Helper1BG</v>
          </cell>
        </row>
        <row r="397">
          <cell r="B397" t="str">
            <v>44Helper1BG</v>
          </cell>
        </row>
        <row r="398">
          <cell r="B398" t="str">
            <v>44Helper1BG</v>
          </cell>
        </row>
        <row r="399">
          <cell r="B399" t="str">
            <v>44Helper1BG</v>
          </cell>
        </row>
        <row r="400">
          <cell r="B400" t="str">
            <v>44Helper1BG</v>
          </cell>
        </row>
        <row r="401">
          <cell r="B401" t="str">
            <v>44Helper1BG</v>
          </cell>
        </row>
        <row r="402">
          <cell r="B402" t="str">
            <v>44Helper1BG</v>
          </cell>
        </row>
        <row r="403">
          <cell r="B403" t="str">
            <v>44Helper1BG</v>
          </cell>
        </row>
        <row r="404">
          <cell r="B404" t="str">
            <v>44Helper1BG</v>
          </cell>
        </row>
        <row r="405">
          <cell r="B405" t="str">
            <v>44Helper1BG</v>
          </cell>
        </row>
        <row r="406">
          <cell r="B406" t="str">
            <v>44Helper1BG</v>
          </cell>
        </row>
        <row r="407">
          <cell r="B407" t="str">
            <v>44Helper1BG</v>
          </cell>
        </row>
        <row r="408">
          <cell r="B408" t="str">
            <v>44Helper1BG</v>
          </cell>
        </row>
        <row r="409">
          <cell r="B409" t="str">
            <v>44Helper1BG</v>
          </cell>
        </row>
        <row r="410">
          <cell r="B410" t="str">
            <v>44Helper1BG</v>
          </cell>
        </row>
        <row r="411">
          <cell r="B411" t="str">
            <v>44Helper1BG</v>
          </cell>
        </row>
        <row r="412">
          <cell r="B412" t="str">
            <v>44Helper1BG</v>
          </cell>
        </row>
        <row r="413">
          <cell r="B413" t="str">
            <v>44Helper1BG</v>
          </cell>
        </row>
        <row r="414">
          <cell r="B414" t="str">
            <v>44Helper1BG</v>
          </cell>
        </row>
        <row r="415">
          <cell r="B415" t="str">
            <v>44Helper1BG</v>
          </cell>
        </row>
        <row r="416">
          <cell r="B416" t="str">
            <v>44Helper1BG</v>
          </cell>
        </row>
        <row r="417">
          <cell r="B417" t="str">
            <v>44Helper1BG</v>
          </cell>
        </row>
        <row r="418">
          <cell r="B418" t="str">
            <v>44Helper1BG</v>
          </cell>
        </row>
        <row r="419">
          <cell r="B419" t="str">
            <v>44Helper1BG</v>
          </cell>
        </row>
        <row r="420">
          <cell r="B420" t="str">
            <v>44Helper1BG</v>
          </cell>
        </row>
        <row r="421">
          <cell r="B421" t="str">
            <v>44Helper1BG</v>
          </cell>
        </row>
        <row r="422">
          <cell r="B422" t="str">
            <v>44Helper1BG</v>
          </cell>
        </row>
        <row r="423">
          <cell r="B423" t="str">
            <v>44Helper1BG</v>
          </cell>
        </row>
        <row r="424">
          <cell r="B424" t="str">
            <v>44Helper1BG</v>
          </cell>
        </row>
        <row r="425">
          <cell r="B425" t="str">
            <v>44Helper1BG</v>
          </cell>
        </row>
        <row r="426">
          <cell r="B426" t="str">
            <v>44Helper1BG</v>
          </cell>
        </row>
        <row r="427">
          <cell r="B427" t="str">
            <v>44Helper1BG</v>
          </cell>
        </row>
        <row r="428">
          <cell r="B428" t="str">
            <v>44Helper1BG</v>
          </cell>
        </row>
        <row r="429">
          <cell r="B429" t="str">
            <v>44Helper1BG</v>
          </cell>
        </row>
        <row r="430">
          <cell r="B430" t="str">
            <v>44Helper1BG</v>
          </cell>
        </row>
        <row r="431">
          <cell r="B431" t="str">
            <v>44Helper1BG</v>
          </cell>
        </row>
        <row r="432">
          <cell r="B432" t="str">
            <v>44Helper1BG</v>
          </cell>
        </row>
        <row r="433">
          <cell r="B433" t="str">
            <v>44Helper1BG</v>
          </cell>
        </row>
        <row r="434">
          <cell r="B434" t="str">
            <v>44Helper1BG</v>
          </cell>
        </row>
        <row r="435">
          <cell r="B435" t="str">
            <v>44Helper1BG</v>
          </cell>
        </row>
        <row r="436">
          <cell r="B436" t="str">
            <v>44Helper1BG</v>
          </cell>
        </row>
        <row r="437">
          <cell r="B437" t="str">
            <v>44Helper1BG</v>
          </cell>
        </row>
        <row r="438">
          <cell r="B438" t="str">
            <v>44Helper1BG</v>
          </cell>
        </row>
        <row r="439">
          <cell r="B439" t="str">
            <v>44Helper1BG</v>
          </cell>
        </row>
        <row r="440">
          <cell r="B440" t="str">
            <v>44Helper1BG</v>
          </cell>
        </row>
        <row r="441">
          <cell r="B441" t="str">
            <v>44Helper1BG</v>
          </cell>
        </row>
        <row r="442">
          <cell r="B442" t="str">
            <v>44Helper1IN</v>
          </cell>
        </row>
        <row r="443">
          <cell r="B443" t="str">
            <v>44Helper1IN</v>
          </cell>
        </row>
        <row r="444">
          <cell r="B444" t="str">
            <v>44Helper1IN</v>
          </cell>
        </row>
        <row r="445">
          <cell r="B445" t="str">
            <v>44Helper1IN</v>
          </cell>
        </row>
        <row r="446">
          <cell r="B446" t="str">
            <v>44Helper1BG</v>
          </cell>
        </row>
        <row r="447">
          <cell r="B447" t="str">
            <v>44Helper1BG</v>
          </cell>
        </row>
        <row r="448">
          <cell r="B448" t="str">
            <v>44Helper1BG</v>
          </cell>
        </row>
        <row r="449">
          <cell r="B449" t="str">
            <v>44Helper1BG</v>
          </cell>
        </row>
        <row r="450">
          <cell r="B450" t="str">
            <v>44Helper1BG</v>
          </cell>
        </row>
        <row r="451">
          <cell r="B451" t="str">
            <v>44Helper1BG</v>
          </cell>
        </row>
        <row r="452">
          <cell r="B452" t="str">
            <v>44Helper1BG</v>
          </cell>
        </row>
        <row r="453">
          <cell r="B453" t="str">
            <v>44Helper1BG</v>
          </cell>
        </row>
        <row r="454">
          <cell r="B454" t="str">
            <v>44Helper1BG</v>
          </cell>
        </row>
        <row r="455">
          <cell r="B455" t="str">
            <v>44Helper1BG</v>
          </cell>
        </row>
        <row r="456">
          <cell r="B456" t="str">
            <v>44Helper1BG</v>
          </cell>
        </row>
        <row r="457">
          <cell r="B457" t="str">
            <v>44Helper1BG</v>
          </cell>
        </row>
        <row r="458">
          <cell r="B458" t="str">
            <v>44Helper1NP</v>
          </cell>
        </row>
        <row r="459">
          <cell r="B459" t="str">
            <v>44Helper1NP</v>
          </cell>
        </row>
        <row r="460">
          <cell r="B460" t="str">
            <v>44Helper1BG</v>
          </cell>
        </row>
        <row r="461">
          <cell r="B461" t="str">
            <v>44Helper1BG</v>
          </cell>
        </row>
        <row r="462">
          <cell r="B462" t="str">
            <v>44Helper1BG</v>
          </cell>
        </row>
        <row r="463">
          <cell r="B463" t="str">
            <v>44Helper1BG</v>
          </cell>
        </row>
        <row r="464">
          <cell r="B464" t="str">
            <v>44Helper1BG</v>
          </cell>
        </row>
        <row r="465">
          <cell r="B465" t="str">
            <v>44Helper1BG</v>
          </cell>
        </row>
        <row r="466">
          <cell r="B466" t="str">
            <v>44Helper1BG</v>
          </cell>
        </row>
        <row r="467">
          <cell r="B467" t="str">
            <v>44Helper1BG</v>
          </cell>
        </row>
        <row r="468">
          <cell r="B468" t="str">
            <v>44Helper1BG</v>
          </cell>
        </row>
        <row r="469">
          <cell r="B469" t="str">
            <v>44Helper1BG</v>
          </cell>
        </row>
        <row r="470">
          <cell r="B470" t="str">
            <v>44Helper1IN</v>
          </cell>
        </row>
        <row r="471">
          <cell r="B471" t="str">
            <v>44Helper1IN</v>
          </cell>
        </row>
        <row r="472">
          <cell r="B472" t="str">
            <v>44Helper1BG</v>
          </cell>
        </row>
        <row r="473">
          <cell r="B473" t="str">
            <v>44Helper1BG</v>
          </cell>
        </row>
        <row r="474">
          <cell r="B474" t="str">
            <v>44Helper1BG</v>
          </cell>
        </row>
        <row r="475">
          <cell r="B475" t="str">
            <v>44Helper1BG</v>
          </cell>
        </row>
        <row r="476">
          <cell r="B476" t="str">
            <v>44Helper1BG</v>
          </cell>
        </row>
        <row r="477">
          <cell r="B477" t="str">
            <v>44Helper1BG</v>
          </cell>
        </row>
        <row r="478">
          <cell r="B478" t="str">
            <v>44Helper1BG</v>
          </cell>
        </row>
        <row r="479">
          <cell r="B479" t="str">
            <v>44Helper1BG</v>
          </cell>
        </row>
        <row r="480">
          <cell r="B480" t="str">
            <v>44Helper1BG</v>
          </cell>
        </row>
        <row r="481">
          <cell r="B481" t="str">
            <v>44Helper1BG</v>
          </cell>
        </row>
        <row r="482">
          <cell r="B482" t="str">
            <v>44Helper1BG</v>
          </cell>
        </row>
        <row r="483">
          <cell r="B483" t="str">
            <v>44Helper1BG</v>
          </cell>
        </row>
        <row r="484">
          <cell r="B484" t="str">
            <v>44Helper1BG</v>
          </cell>
        </row>
        <row r="485">
          <cell r="B485" t="str">
            <v>44Helper1BG</v>
          </cell>
        </row>
        <row r="486">
          <cell r="B486" t="str">
            <v>44Helper1BG</v>
          </cell>
        </row>
        <row r="487">
          <cell r="B487" t="str">
            <v>44Helper1BG</v>
          </cell>
        </row>
        <row r="488">
          <cell r="B488" t="str">
            <v>44Helper1BG</v>
          </cell>
        </row>
        <row r="489">
          <cell r="B489" t="str">
            <v>44Helper1BG</v>
          </cell>
        </row>
        <row r="490">
          <cell r="B490" t="str">
            <v>44Helper1BG</v>
          </cell>
        </row>
        <row r="491">
          <cell r="B491" t="str">
            <v>44Helper1BG</v>
          </cell>
        </row>
        <row r="492">
          <cell r="B492" t="str">
            <v>44Helper1BG</v>
          </cell>
        </row>
        <row r="493">
          <cell r="B493" t="str">
            <v>44Helper1BG</v>
          </cell>
        </row>
        <row r="494">
          <cell r="B494" t="str">
            <v>44Helper1BG</v>
          </cell>
        </row>
        <row r="495">
          <cell r="B495" t="str">
            <v>44Helper1BG</v>
          </cell>
        </row>
        <row r="496">
          <cell r="B496" t="str">
            <v>44Helper1BG</v>
          </cell>
        </row>
        <row r="497">
          <cell r="B497" t="str">
            <v>44Helper1BG</v>
          </cell>
        </row>
        <row r="498">
          <cell r="B498" t="str">
            <v>44Helper1BG</v>
          </cell>
        </row>
        <row r="499">
          <cell r="B499" t="str">
            <v>44Helper1BG</v>
          </cell>
        </row>
        <row r="500">
          <cell r="B500" t="str">
            <v>44Helper1NP</v>
          </cell>
        </row>
        <row r="501">
          <cell r="B501" t="str">
            <v>44Helper1NP</v>
          </cell>
        </row>
        <row r="502">
          <cell r="B502" t="str">
            <v>44Helper1NP</v>
          </cell>
        </row>
        <row r="503">
          <cell r="B503" t="str">
            <v>44Helper1NP</v>
          </cell>
        </row>
        <row r="504">
          <cell r="B504" t="str">
            <v>44Helper1NP</v>
          </cell>
        </row>
        <row r="505">
          <cell r="B505" t="str">
            <v>44Helper1NP</v>
          </cell>
        </row>
        <row r="506">
          <cell r="B506" t="str">
            <v>44Helper1NP</v>
          </cell>
        </row>
        <row r="507">
          <cell r="B507" t="str">
            <v>44Helper1BG</v>
          </cell>
        </row>
        <row r="508">
          <cell r="B508" t="str">
            <v>44Helper1BG</v>
          </cell>
        </row>
        <row r="509">
          <cell r="B509" t="str">
            <v>44Helper1BG</v>
          </cell>
        </row>
        <row r="510">
          <cell r="B510" t="str">
            <v>44Helper1BG</v>
          </cell>
        </row>
        <row r="511">
          <cell r="B511" t="str">
            <v>44Helper1BG</v>
          </cell>
        </row>
        <row r="512">
          <cell r="B512" t="str">
            <v>44Helper1BG</v>
          </cell>
        </row>
        <row r="513">
          <cell r="B513" t="str">
            <v>44Helper1BG</v>
          </cell>
        </row>
        <row r="514">
          <cell r="B514" t="str">
            <v>44Helper1BG</v>
          </cell>
        </row>
        <row r="515">
          <cell r="B515" t="str">
            <v>44Helper1BG</v>
          </cell>
        </row>
        <row r="516">
          <cell r="B516" t="str">
            <v>44Helper1BG</v>
          </cell>
        </row>
        <row r="517">
          <cell r="B517" t="str">
            <v>44Helper1BG</v>
          </cell>
        </row>
        <row r="518">
          <cell r="B518" t="str">
            <v>44Helper1BG</v>
          </cell>
        </row>
        <row r="519">
          <cell r="B519" t="str">
            <v>44Helper1BG</v>
          </cell>
        </row>
        <row r="520">
          <cell r="B520" t="str">
            <v>44Helper1BG</v>
          </cell>
        </row>
        <row r="521">
          <cell r="B521" t="str">
            <v>44Helper1BG</v>
          </cell>
        </row>
        <row r="522">
          <cell r="B522" t="str">
            <v>44Helper1BG</v>
          </cell>
        </row>
        <row r="523">
          <cell r="B523" t="str">
            <v>44Helper1BG</v>
          </cell>
        </row>
        <row r="524">
          <cell r="B524" t="str">
            <v>44Helper1BG</v>
          </cell>
        </row>
        <row r="525">
          <cell r="B525" t="str">
            <v>44Helper1BG</v>
          </cell>
        </row>
        <row r="526">
          <cell r="B526" t="str">
            <v>44Helper1BG</v>
          </cell>
        </row>
        <row r="527">
          <cell r="B527" t="str">
            <v>44Helper1BG</v>
          </cell>
        </row>
        <row r="528">
          <cell r="B528" t="str">
            <v>44Helper1BG</v>
          </cell>
        </row>
        <row r="529">
          <cell r="B529" t="str">
            <v>44Helper1BG</v>
          </cell>
        </row>
        <row r="530">
          <cell r="B530" t="str">
            <v>44Helper1BG</v>
          </cell>
        </row>
        <row r="531">
          <cell r="B531" t="str">
            <v>44Helper1IN</v>
          </cell>
        </row>
        <row r="532">
          <cell r="B532" t="str">
            <v>44Helper1IN</v>
          </cell>
        </row>
        <row r="533">
          <cell r="B533" t="str">
            <v>44Helper1BG</v>
          </cell>
        </row>
        <row r="534">
          <cell r="B534" t="str">
            <v>44Helper1BG</v>
          </cell>
        </row>
        <row r="535">
          <cell r="B535" t="str">
            <v>44Helper1BG</v>
          </cell>
        </row>
        <row r="536">
          <cell r="B536" t="str">
            <v>44Helper1BG</v>
          </cell>
        </row>
        <row r="537">
          <cell r="B537" t="str">
            <v>44Helper1BG</v>
          </cell>
        </row>
        <row r="538">
          <cell r="B538" t="str">
            <v>44Helper1BG</v>
          </cell>
        </row>
        <row r="539">
          <cell r="B539" t="str">
            <v>44Helper1BG</v>
          </cell>
        </row>
        <row r="540">
          <cell r="B540" t="str">
            <v>44Helper1BG</v>
          </cell>
        </row>
        <row r="541">
          <cell r="B541" t="str">
            <v>44Helper1BG</v>
          </cell>
        </row>
        <row r="542">
          <cell r="B542" t="str">
            <v>44Helper1BG</v>
          </cell>
        </row>
        <row r="543">
          <cell r="B543" t="str">
            <v>44Helper1BG</v>
          </cell>
        </row>
        <row r="544">
          <cell r="B544" t="str">
            <v>44Helper1BG</v>
          </cell>
        </row>
        <row r="545">
          <cell r="B545" t="str">
            <v>44Helper1BG</v>
          </cell>
        </row>
        <row r="546">
          <cell r="B546" t="str">
            <v>44Helper1BG</v>
          </cell>
        </row>
        <row r="547">
          <cell r="B547" t="str">
            <v>44Helper1BG</v>
          </cell>
        </row>
        <row r="548">
          <cell r="B548" t="str">
            <v>44Helper1BG</v>
          </cell>
        </row>
        <row r="549">
          <cell r="B549" t="str">
            <v>44Helper1BG</v>
          </cell>
        </row>
        <row r="550">
          <cell r="B550" t="str">
            <v>44Helper1BG</v>
          </cell>
        </row>
        <row r="551">
          <cell r="B551" t="str">
            <v>44Helper1IN</v>
          </cell>
        </row>
        <row r="552">
          <cell r="B552" t="str">
            <v>44Helper1IN</v>
          </cell>
        </row>
        <row r="553">
          <cell r="B553" t="str">
            <v>44Helper1IN</v>
          </cell>
        </row>
        <row r="554">
          <cell r="B554" t="str">
            <v>44Helper1BG</v>
          </cell>
        </row>
        <row r="555">
          <cell r="B555" t="str">
            <v>44Helper1IN</v>
          </cell>
        </row>
        <row r="556">
          <cell r="B556" t="str">
            <v>44Helper1IN</v>
          </cell>
        </row>
        <row r="557">
          <cell r="B557" t="str">
            <v>44Helper1IN</v>
          </cell>
        </row>
        <row r="558">
          <cell r="B558" t="str">
            <v>44Helper1IN</v>
          </cell>
        </row>
        <row r="559">
          <cell r="B559" t="str">
            <v>44Helper1IN</v>
          </cell>
        </row>
        <row r="560">
          <cell r="B560" t="str">
            <v>44Helper1NP</v>
          </cell>
        </row>
        <row r="561">
          <cell r="B561" t="str">
            <v>44Helper1NP</v>
          </cell>
        </row>
        <row r="562">
          <cell r="B562" t="str">
            <v>44Helper1NP</v>
          </cell>
        </row>
        <row r="563">
          <cell r="B563" t="str">
            <v>44Helper1NP</v>
          </cell>
        </row>
        <row r="564">
          <cell r="B564" t="str">
            <v>44Helper1NP</v>
          </cell>
        </row>
        <row r="565">
          <cell r="B565" t="str">
            <v>44Helper1NP</v>
          </cell>
        </row>
        <row r="566">
          <cell r="B566" t="str">
            <v>44Helper1NP</v>
          </cell>
        </row>
        <row r="567">
          <cell r="B567" t="str">
            <v>44Helper1NP</v>
          </cell>
        </row>
        <row r="568">
          <cell r="B568" t="str">
            <v>44Helper1NP</v>
          </cell>
        </row>
        <row r="569">
          <cell r="B569" t="str">
            <v>44Helper1NP</v>
          </cell>
        </row>
        <row r="570">
          <cell r="B570" t="str">
            <v>44Helper1NP</v>
          </cell>
        </row>
        <row r="571">
          <cell r="B571" t="str">
            <v>44Helper1NP</v>
          </cell>
        </row>
        <row r="572">
          <cell r="B572" t="str">
            <v>44Helper1NP</v>
          </cell>
        </row>
        <row r="573">
          <cell r="B573" t="str">
            <v>44Rigger1BG</v>
          </cell>
        </row>
        <row r="574">
          <cell r="B574" t="str">
            <v>44Khalasi1BG</v>
          </cell>
        </row>
        <row r="575">
          <cell r="B575" t="str">
            <v>44Rigger1NP</v>
          </cell>
        </row>
        <row r="576">
          <cell r="B576" t="str">
            <v>44Office Boy1NP</v>
          </cell>
        </row>
        <row r="577">
          <cell r="B577" t="str">
            <v>44Helper1BG</v>
          </cell>
        </row>
        <row r="578">
          <cell r="B578" t="str">
            <v>44Junior Fitter1IN</v>
          </cell>
        </row>
        <row r="579">
          <cell r="B579" t="str">
            <v>44Helper1IN</v>
          </cell>
        </row>
        <row r="580">
          <cell r="B580" t="str">
            <v>44Helper1NP</v>
          </cell>
        </row>
        <row r="581">
          <cell r="B581" t="str">
            <v>44Helper1IN</v>
          </cell>
        </row>
        <row r="582">
          <cell r="B582" t="str">
            <v>44Helper1NP</v>
          </cell>
        </row>
        <row r="583">
          <cell r="B583" t="str">
            <v>44Light Vehicle Driver1BG</v>
          </cell>
        </row>
        <row r="584">
          <cell r="B584" t="str">
            <v>44Light Vehicle Driver1IN</v>
          </cell>
        </row>
        <row r="585">
          <cell r="B585" t="str">
            <v>44Mechanical Fitter1IN</v>
          </cell>
        </row>
        <row r="586">
          <cell r="B586" t="str">
            <v>44Junior Auto Mechanic1IN</v>
          </cell>
        </row>
        <row r="587">
          <cell r="B587" t="str">
            <v>44Light Vehicle Driver1IN</v>
          </cell>
        </row>
        <row r="588">
          <cell r="B588" t="str">
            <v>44Plate Welder1BG</v>
          </cell>
        </row>
        <row r="589">
          <cell r="B589" t="str">
            <v>44Plate Welder1BG</v>
          </cell>
        </row>
        <row r="590">
          <cell r="B590" t="str">
            <v>44Plate Welder1BG</v>
          </cell>
        </row>
        <row r="591">
          <cell r="B591" t="str">
            <v>44Plate Welder1BG</v>
          </cell>
        </row>
        <row r="592">
          <cell r="B592" t="str">
            <v>44Plate Welder1IN</v>
          </cell>
        </row>
        <row r="593">
          <cell r="B593" t="str">
            <v>44HVAC Mechanic1IN</v>
          </cell>
        </row>
        <row r="594">
          <cell r="B594" t="str">
            <v>44Instrument Fitter1IN</v>
          </cell>
        </row>
        <row r="595">
          <cell r="B595" t="str">
            <v>44Instrument Fitter1IN</v>
          </cell>
        </row>
        <row r="596">
          <cell r="B596" t="str">
            <v>44Instrument Fitter1IN</v>
          </cell>
        </row>
        <row r="597">
          <cell r="B597" t="str">
            <v>44Instrument Fitter1IN</v>
          </cell>
        </row>
        <row r="598">
          <cell r="B598" t="str">
            <v>44Instrument Fitter1IN</v>
          </cell>
        </row>
        <row r="599">
          <cell r="B599" t="str">
            <v>44Instrument Fitter1IN</v>
          </cell>
        </row>
        <row r="600">
          <cell r="B600" t="str">
            <v>44Instrument Fitter1IN</v>
          </cell>
        </row>
        <row r="601">
          <cell r="B601" t="str">
            <v>44Instrument Fitter1IN</v>
          </cell>
        </row>
        <row r="602">
          <cell r="B602" t="str">
            <v>44Instrument Fitter1PH</v>
          </cell>
        </row>
        <row r="603">
          <cell r="B603" t="str">
            <v>44Instrument Technician1IN</v>
          </cell>
        </row>
        <row r="604">
          <cell r="B604" t="str">
            <v>44Instrument Technician1IN</v>
          </cell>
        </row>
        <row r="605">
          <cell r="B605" t="str">
            <v>44Instrument Technician1IN</v>
          </cell>
        </row>
        <row r="606">
          <cell r="B606" t="str">
            <v>44Instrument Technician1IN</v>
          </cell>
        </row>
        <row r="607">
          <cell r="B607" t="str">
            <v>44Instrument Technician1IN</v>
          </cell>
        </row>
        <row r="608">
          <cell r="B608" t="str">
            <v>44Instrument Technician1IN</v>
          </cell>
        </row>
        <row r="609">
          <cell r="B609" t="str">
            <v>44Instrument Technician1IN</v>
          </cell>
        </row>
        <row r="610">
          <cell r="B610" t="str">
            <v>44Instrument Technician1IN</v>
          </cell>
        </row>
        <row r="611">
          <cell r="B611" t="str">
            <v>44Instrument Technician1IN</v>
          </cell>
        </row>
        <row r="612">
          <cell r="B612" t="str">
            <v>44Instrument Technician1IN</v>
          </cell>
        </row>
        <row r="613">
          <cell r="B613" t="str">
            <v>44Instrument Technician1IN</v>
          </cell>
        </row>
        <row r="614">
          <cell r="B614" t="str">
            <v>44Instrument Technician1IN</v>
          </cell>
        </row>
        <row r="615">
          <cell r="B615" t="str">
            <v>44Instrument Technician1PH</v>
          </cell>
        </row>
        <row r="616">
          <cell r="B616" t="str">
            <v>44Instrument Technician1IN</v>
          </cell>
        </row>
        <row r="617">
          <cell r="B617" t="str">
            <v>44Instrument Technician1IN</v>
          </cell>
        </row>
        <row r="618">
          <cell r="B618" t="str">
            <v>44Insulator1IN</v>
          </cell>
        </row>
        <row r="619">
          <cell r="B619" t="str">
            <v>44Insulator1IN</v>
          </cell>
        </row>
        <row r="620">
          <cell r="B620" t="str">
            <v>44Insulator1IN</v>
          </cell>
        </row>
        <row r="621">
          <cell r="B621" t="str">
            <v>44Insulator1IN</v>
          </cell>
        </row>
        <row r="622">
          <cell r="B622" t="str">
            <v>44Insulator1IN</v>
          </cell>
        </row>
        <row r="623">
          <cell r="B623" t="str">
            <v>44Insulator1IN</v>
          </cell>
        </row>
        <row r="624">
          <cell r="B624" t="str">
            <v>44Insulator1IN</v>
          </cell>
        </row>
        <row r="625">
          <cell r="B625" t="str">
            <v>44Insulator1IN</v>
          </cell>
        </row>
        <row r="626">
          <cell r="B626" t="str">
            <v>44Insulator1IN</v>
          </cell>
        </row>
        <row r="627">
          <cell r="B627" t="str">
            <v>44Insulator1IN</v>
          </cell>
        </row>
        <row r="628">
          <cell r="B628" t="str">
            <v>44Insulator1IN</v>
          </cell>
        </row>
        <row r="629">
          <cell r="B629" t="str">
            <v>44Junior Administrative Assistant1IN</v>
          </cell>
        </row>
        <row r="630">
          <cell r="B630" t="str">
            <v>44Junior Administrative Assistant1IN</v>
          </cell>
        </row>
        <row r="631">
          <cell r="B631" t="str">
            <v>44Junior Auto Electrician1IN</v>
          </cell>
        </row>
        <row r="632">
          <cell r="B632" t="str">
            <v>44Junior Auto Mechanic1IN</v>
          </cell>
        </row>
        <row r="633">
          <cell r="B633" t="str">
            <v>44Junior Auto Mechanic1IN</v>
          </cell>
        </row>
        <row r="634">
          <cell r="B634" t="str">
            <v>44Auto Mechanic1IN</v>
          </cell>
        </row>
        <row r="635">
          <cell r="B635" t="str">
            <v>44Junior Auto Mechanic1BG</v>
          </cell>
        </row>
        <row r="636">
          <cell r="B636" t="str">
            <v>44Junior Cook1IN</v>
          </cell>
        </row>
        <row r="637">
          <cell r="B637" t="str">
            <v>44Electrical Fitter1IN</v>
          </cell>
        </row>
        <row r="638">
          <cell r="B638" t="str">
            <v>44Junior Electrician1IN</v>
          </cell>
        </row>
        <row r="639">
          <cell r="B639" t="str">
            <v>44Junior Electrician1IN</v>
          </cell>
        </row>
        <row r="640">
          <cell r="B640" t="str">
            <v>44Junior Electrician1IN</v>
          </cell>
        </row>
        <row r="641">
          <cell r="B641" t="str">
            <v>44Junior Electrician1IN</v>
          </cell>
        </row>
        <row r="642">
          <cell r="B642" t="str">
            <v>44Junior Electrician1IN</v>
          </cell>
        </row>
        <row r="643">
          <cell r="B643" t="str">
            <v>44Junior Electrician1IN</v>
          </cell>
        </row>
        <row r="644">
          <cell r="B644" t="str">
            <v>44Junior Electrician1IN</v>
          </cell>
        </row>
        <row r="645">
          <cell r="B645" t="str">
            <v>44Electrician1IN</v>
          </cell>
        </row>
        <row r="646">
          <cell r="B646" t="str">
            <v>44Junior Electrician1IN</v>
          </cell>
        </row>
        <row r="647">
          <cell r="B647" t="str">
            <v>44Junior Engineer (Electrical)1IN</v>
          </cell>
        </row>
        <row r="648">
          <cell r="B648" t="str">
            <v>44Assistant Engineer (Electrical)1IN</v>
          </cell>
        </row>
        <row r="649">
          <cell r="B649" t="str">
            <v>44Junior Engineer (Instrumentation)1IN</v>
          </cell>
        </row>
        <row r="650">
          <cell r="B650" t="str">
            <v>44Junior Engineer (Instrumentation)1IN</v>
          </cell>
        </row>
        <row r="651">
          <cell r="B651" t="str">
            <v>44Assistant Engineer (Instrumentation)1IN</v>
          </cell>
        </row>
        <row r="652">
          <cell r="B652" t="str">
            <v>44Junior Engineer (Mechanical)1IN</v>
          </cell>
        </row>
        <row r="653">
          <cell r="B653" t="str">
            <v>44Junior Engineer (Mechanical)1IN</v>
          </cell>
        </row>
        <row r="654">
          <cell r="B654" t="str">
            <v>44Junior Engineer (Mechanical)1IN</v>
          </cell>
        </row>
        <row r="655">
          <cell r="B655" t="str">
            <v>44Junior Engineer (Mechanical)1IN</v>
          </cell>
        </row>
        <row r="656">
          <cell r="B656" t="str">
            <v>44Junior Engineer (Mechanical)1IN</v>
          </cell>
        </row>
        <row r="657">
          <cell r="B657" t="str">
            <v>44Junior Engineer (Mechanical)1IN</v>
          </cell>
        </row>
        <row r="658">
          <cell r="B658" t="str">
            <v>44Junior Engineer (Mechanical)1IN</v>
          </cell>
        </row>
        <row r="659">
          <cell r="B659" t="str">
            <v>44Junior Engineer (Mechanical)1IN</v>
          </cell>
        </row>
        <row r="660">
          <cell r="B660" t="str">
            <v>44Junior Engineer (Mechanical)1IN</v>
          </cell>
        </row>
        <row r="661">
          <cell r="B661" t="str">
            <v>44Junior Engineer (Piping)1IN</v>
          </cell>
        </row>
        <row r="662">
          <cell r="B662" t="str">
            <v>44Junior Engineer (Planning)1IN</v>
          </cell>
        </row>
        <row r="663">
          <cell r="B663" t="str">
            <v>44Junior Engineer (QA/QC)1IN</v>
          </cell>
        </row>
        <row r="664">
          <cell r="B664" t="str">
            <v>44Assistant Engineer (QA/QC)1IN</v>
          </cell>
        </row>
        <row r="665">
          <cell r="B665" t="str">
            <v>44Junior Fitter1IN</v>
          </cell>
        </row>
        <row r="666">
          <cell r="B666" t="str">
            <v>44Junior Inspector (QA/QC)1IN</v>
          </cell>
        </row>
        <row r="667">
          <cell r="B667" t="str">
            <v>44Junior Instrument Technician1IN</v>
          </cell>
        </row>
        <row r="668">
          <cell r="B668" t="str">
            <v>44Junior Mechanical Fitter1IN</v>
          </cell>
        </row>
        <row r="669">
          <cell r="B669" t="str">
            <v>44Junior Mechanical Fitter1IN</v>
          </cell>
        </row>
        <row r="670">
          <cell r="B670" t="str">
            <v>44Junior Mechanical Fitter1BG</v>
          </cell>
        </row>
        <row r="671">
          <cell r="B671" t="str">
            <v>44Junior Pipe Fitter1IN</v>
          </cell>
        </row>
        <row r="672">
          <cell r="B672" t="str">
            <v>44Junior Store Assistant1IN</v>
          </cell>
        </row>
        <row r="673">
          <cell r="B673" t="str">
            <v>44Junior Store Assistant1IN</v>
          </cell>
        </row>
        <row r="674">
          <cell r="B674" t="str">
            <v>44Junior Store Assistant1IN</v>
          </cell>
        </row>
        <row r="675">
          <cell r="B675" t="str">
            <v>44Junior Store Assistant1IN</v>
          </cell>
        </row>
        <row r="676">
          <cell r="B676" t="str">
            <v>44Junior Superintendent (Electrical)1IN</v>
          </cell>
        </row>
        <row r="677">
          <cell r="B677" t="str">
            <v>44Junior Superintendent (Plannig)1IN</v>
          </cell>
        </row>
        <row r="678">
          <cell r="B678" t="str">
            <v>44Junior Superintendent (QA/QC)1IN</v>
          </cell>
        </row>
        <row r="679">
          <cell r="B679" t="str">
            <v>44Junior Supervisor (Auto)1IN</v>
          </cell>
        </row>
        <row r="680">
          <cell r="B680" t="str">
            <v>44Junior Supervisor (Electrical)1IN</v>
          </cell>
        </row>
        <row r="681">
          <cell r="B681" t="str">
            <v>44Junior Supervisor (Instrumentation)1IN</v>
          </cell>
        </row>
        <row r="682">
          <cell r="B682" t="str">
            <v>44Khalasi1IN</v>
          </cell>
        </row>
        <row r="683">
          <cell r="B683" t="str">
            <v>44Khalasi1IN</v>
          </cell>
        </row>
        <row r="684">
          <cell r="B684" t="str">
            <v>44Khalasi1IN</v>
          </cell>
        </row>
        <row r="685">
          <cell r="B685" t="str">
            <v>44Khalasi1IN</v>
          </cell>
        </row>
        <row r="686">
          <cell r="B686" t="str">
            <v>44Khalasi1IN</v>
          </cell>
        </row>
        <row r="687">
          <cell r="B687" t="str">
            <v>44Khalasi1IN</v>
          </cell>
        </row>
        <row r="688">
          <cell r="B688" t="str">
            <v>44Khalasi1IN</v>
          </cell>
        </row>
        <row r="689">
          <cell r="B689" t="str">
            <v>44Khalasi1IN</v>
          </cell>
        </row>
        <row r="690">
          <cell r="B690" t="str">
            <v>44Khalasi1IN</v>
          </cell>
        </row>
        <row r="691">
          <cell r="B691" t="str">
            <v>44Khalasi1IN</v>
          </cell>
        </row>
        <row r="692">
          <cell r="B692" t="str">
            <v>44Khalasi1IN</v>
          </cell>
        </row>
        <row r="693">
          <cell r="B693" t="str">
            <v>44Khalasi1IN</v>
          </cell>
        </row>
        <row r="694">
          <cell r="B694" t="str">
            <v>44Khalasi1IN</v>
          </cell>
        </row>
        <row r="695">
          <cell r="B695" t="str">
            <v>44Khalasi1IN</v>
          </cell>
        </row>
        <row r="696">
          <cell r="B696" t="str">
            <v>44Khalasi1IN</v>
          </cell>
        </row>
        <row r="697">
          <cell r="B697" t="str">
            <v>44Khalasi1IN</v>
          </cell>
        </row>
        <row r="698">
          <cell r="B698" t="str">
            <v>44Khalasi1IN</v>
          </cell>
        </row>
        <row r="699">
          <cell r="B699" t="str">
            <v>44Khalasi1IN</v>
          </cell>
        </row>
        <row r="700">
          <cell r="B700" t="str">
            <v>44Khalasi1IN</v>
          </cell>
        </row>
        <row r="701">
          <cell r="B701" t="str">
            <v>44Khalasi1IN</v>
          </cell>
        </row>
        <row r="702">
          <cell r="B702" t="str">
            <v>44Khalasi1IN</v>
          </cell>
        </row>
        <row r="703">
          <cell r="B703" t="str">
            <v>44Khalasi1IN</v>
          </cell>
        </row>
        <row r="704">
          <cell r="B704" t="str">
            <v>44Khalasi1IN</v>
          </cell>
        </row>
        <row r="705">
          <cell r="B705" t="str">
            <v>44Khalasi1IN</v>
          </cell>
        </row>
        <row r="706">
          <cell r="B706" t="str">
            <v>44Khalasi1IN</v>
          </cell>
        </row>
        <row r="707">
          <cell r="B707" t="str">
            <v>44Khalasi1IN</v>
          </cell>
        </row>
        <row r="708">
          <cell r="B708" t="str">
            <v>44Khalasi1IN</v>
          </cell>
        </row>
        <row r="709">
          <cell r="B709" t="str">
            <v>44Khalasi1IN</v>
          </cell>
        </row>
        <row r="710">
          <cell r="B710" t="str">
            <v>44Khalasi1IN</v>
          </cell>
        </row>
        <row r="711">
          <cell r="B711" t="str">
            <v>44Khalasi1IN</v>
          </cell>
        </row>
        <row r="712">
          <cell r="B712" t="str">
            <v>44Khalasi1IN</v>
          </cell>
        </row>
        <row r="713">
          <cell r="B713" t="str">
            <v>44Rigger1IN</v>
          </cell>
        </row>
        <row r="714">
          <cell r="B714" t="str">
            <v>44Khalasi1IN</v>
          </cell>
        </row>
        <row r="715">
          <cell r="B715" t="str">
            <v>44Khalasi1IN</v>
          </cell>
        </row>
        <row r="716">
          <cell r="B716" t="str">
            <v>44Khalasi1IN</v>
          </cell>
        </row>
        <row r="717">
          <cell r="B717" t="str">
            <v>44Khalasi1IN</v>
          </cell>
        </row>
        <row r="718">
          <cell r="B718" t="str">
            <v>44Khalasi1IN</v>
          </cell>
        </row>
        <row r="719">
          <cell r="B719" t="str">
            <v>44Rigger1IN</v>
          </cell>
        </row>
        <row r="720">
          <cell r="B720" t="str">
            <v>44Khalasi1IN</v>
          </cell>
        </row>
        <row r="721">
          <cell r="B721" t="str">
            <v>44Khalasi1IN</v>
          </cell>
        </row>
        <row r="722">
          <cell r="B722" t="str">
            <v>44Rigger1IN</v>
          </cell>
        </row>
        <row r="723">
          <cell r="B723" t="str">
            <v>44Khalasi1IN</v>
          </cell>
        </row>
        <row r="724">
          <cell r="B724" t="str">
            <v>44Khalasi1IN</v>
          </cell>
        </row>
        <row r="725">
          <cell r="B725" t="str">
            <v>44Khalasi1IN</v>
          </cell>
        </row>
        <row r="726">
          <cell r="B726" t="str">
            <v>44Khalasi1IN</v>
          </cell>
        </row>
        <row r="727">
          <cell r="B727" t="str">
            <v>44Khalasi1IN</v>
          </cell>
        </row>
        <row r="728">
          <cell r="B728" t="str">
            <v>44Khalasi1IN</v>
          </cell>
        </row>
        <row r="729">
          <cell r="B729" t="str">
            <v>44Khalasi1IN</v>
          </cell>
        </row>
        <row r="730">
          <cell r="B730" t="str">
            <v>44Rigger1IN</v>
          </cell>
        </row>
        <row r="731">
          <cell r="B731" t="str">
            <v>44Rigger1IN</v>
          </cell>
        </row>
        <row r="732">
          <cell r="B732" t="str">
            <v>44Khalasi1IN</v>
          </cell>
        </row>
        <row r="733">
          <cell r="B733" t="str">
            <v>44Khalasi1IN</v>
          </cell>
        </row>
        <row r="734">
          <cell r="B734" t="str">
            <v>44Khalasi1IN</v>
          </cell>
        </row>
        <row r="735">
          <cell r="B735" t="str">
            <v>44Khalasi1IN</v>
          </cell>
        </row>
        <row r="736">
          <cell r="B736" t="str">
            <v>44Khalasi1IN</v>
          </cell>
        </row>
        <row r="737">
          <cell r="B737" t="str">
            <v>44Rigger1IN</v>
          </cell>
        </row>
        <row r="738">
          <cell r="B738" t="str">
            <v>44Khalasi1NP</v>
          </cell>
        </row>
        <row r="739">
          <cell r="B739" t="str">
            <v>44Khalasi1BG</v>
          </cell>
        </row>
        <row r="740">
          <cell r="B740" t="str">
            <v>44Junior Fitter1IN</v>
          </cell>
        </row>
        <row r="741">
          <cell r="B741" t="str">
            <v>44Rigger1IN</v>
          </cell>
        </row>
        <row r="742">
          <cell r="B742" t="str">
            <v>44Rigger1IN</v>
          </cell>
        </row>
        <row r="743">
          <cell r="B743" t="str">
            <v>44Junior Auto Mechanic1IN</v>
          </cell>
        </row>
        <row r="744">
          <cell r="B744" t="str">
            <v>44Rigger1IN</v>
          </cell>
        </row>
        <row r="745">
          <cell r="B745" t="str">
            <v>44Khalasi1IN</v>
          </cell>
        </row>
        <row r="746">
          <cell r="B746" t="str">
            <v>44Khalasi1IN</v>
          </cell>
        </row>
        <row r="747">
          <cell r="B747" t="str">
            <v>44Khalasi1IN</v>
          </cell>
        </row>
        <row r="748">
          <cell r="B748" t="str">
            <v>44Khalasi1IN</v>
          </cell>
        </row>
        <row r="749">
          <cell r="B749" t="str">
            <v>44Khalasi1BG</v>
          </cell>
        </row>
        <row r="750">
          <cell r="B750" t="str">
            <v>44Khalasi1BG</v>
          </cell>
        </row>
        <row r="751">
          <cell r="B751" t="str">
            <v>44Junior Instrument Fitter1IN</v>
          </cell>
        </row>
        <row r="752">
          <cell r="B752" t="str">
            <v>44Khalasi1BG</v>
          </cell>
        </row>
        <row r="753">
          <cell r="B753" t="str">
            <v>44Khalasi1BG</v>
          </cell>
        </row>
        <row r="754">
          <cell r="B754" t="str">
            <v>44Rigger1BG</v>
          </cell>
        </row>
        <row r="755">
          <cell r="B755" t="str">
            <v>44Rigger1IN</v>
          </cell>
        </row>
        <row r="756">
          <cell r="B756" t="str">
            <v>44Laborer1KSA</v>
          </cell>
        </row>
        <row r="757">
          <cell r="B757" t="str">
            <v>44Laborer1KSA</v>
          </cell>
        </row>
        <row r="758">
          <cell r="B758" t="str">
            <v>44Laborer1KSA</v>
          </cell>
        </row>
        <row r="759">
          <cell r="B759" t="str">
            <v>44Laborer1KSA</v>
          </cell>
        </row>
        <row r="760">
          <cell r="B760" t="str">
            <v>44Laborer1KSA</v>
          </cell>
        </row>
        <row r="761">
          <cell r="B761" t="str">
            <v>44Laborer1KSA</v>
          </cell>
        </row>
        <row r="762">
          <cell r="B762" t="str">
            <v>44Laborer1KSA</v>
          </cell>
        </row>
        <row r="763">
          <cell r="B763" t="str">
            <v>44Laborer1KSA</v>
          </cell>
        </row>
        <row r="764">
          <cell r="B764" t="str">
            <v>44Laborer1KSA</v>
          </cell>
        </row>
        <row r="765">
          <cell r="B765" t="str">
            <v>44Laborer1KSA</v>
          </cell>
        </row>
        <row r="766">
          <cell r="B766" t="str">
            <v>44Laborer1KSA</v>
          </cell>
        </row>
        <row r="767">
          <cell r="B767" t="str">
            <v>44Laborer1KSA</v>
          </cell>
        </row>
        <row r="768">
          <cell r="B768" t="str">
            <v>44Laborer1KSA</v>
          </cell>
        </row>
        <row r="769">
          <cell r="B769" t="str">
            <v>44Laborer1KSA</v>
          </cell>
        </row>
        <row r="770">
          <cell r="B770" t="str">
            <v>44Laborer1KSA</v>
          </cell>
        </row>
        <row r="771">
          <cell r="B771" t="str">
            <v>44Laborer1KSA</v>
          </cell>
        </row>
        <row r="772">
          <cell r="B772" t="str">
            <v>44Laborer1KSA</v>
          </cell>
        </row>
        <row r="773">
          <cell r="B773" t="str">
            <v>44Laborer1KSA</v>
          </cell>
        </row>
        <row r="774">
          <cell r="B774" t="str">
            <v>44Laborer1KSA</v>
          </cell>
        </row>
        <row r="775">
          <cell r="B775" t="str">
            <v>44Laborer1KSA</v>
          </cell>
        </row>
        <row r="776">
          <cell r="B776" t="str">
            <v>44Laborer1KSA</v>
          </cell>
        </row>
        <row r="777">
          <cell r="B777" t="str">
            <v>44Laborer1KSA</v>
          </cell>
        </row>
        <row r="778">
          <cell r="B778" t="str">
            <v>44Laborer1KSA</v>
          </cell>
        </row>
        <row r="779">
          <cell r="B779" t="str">
            <v>44Laborer1KSA</v>
          </cell>
        </row>
        <row r="780">
          <cell r="B780" t="str">
            <v>44Laborer1KSA</v>
          </cell>
        </row>
        <row r="781">
          <cell r="B781" t="str">
            <v>44Laborer1KSA</v>
          </cell>
        </row>
        <row r="782">
          <cell r="B782" t="str">
            <v>44Laborer1KSA</v>
          </cell>
        </row>
        <row r="783">
          <cell r="B783" t="str">
            <v>44Laborer1KSA</v>
          </cell>
        </row>
        <row r="784">
          <cell r="B784" t="str">
            <v>44Laborer1KSA</v>
          </cell>
        </row>
        <row r="785">
          <cell r="B785" t="str">
            <v>44Laborer1KSA</v>
          </cell>
        </row>
        <row r="786">
          <cell r="B786" t="str">
            <v>44Laborer1KSA</v>
          </cell>
        </row>
        <row r="787">
          <cell r="B787" t="str">
            <v>44Laborer1KSA</v>
          </cell>
        </row>
        <row r="788">
          <cell r="B788" t="str">
            <v>44Laborer1KSA</v>
          </cell>
        </row>
        <row r="789">
          <cell r="B789" t="str">
            <v>44Laborer1KSA</v>
          </cell>
        </row>
        <row r="790">
          <cell r="B790" t="str">
            <v>44Laborer1KSA</v>
          </cell>
        </row>
        <row r="791">
          <cell r="B791" t="str">
            <v>44Laborer1KSA</v>
          </cell>
        </row>
        <row r="792">
          <cell r="B792" t="str">
            <v>44Laborer1KSA</v>
          </cell>
        </row>
        <row r="793">
          <cell r="B793" t="str">
            <v>44Laborer1KSA</v>
          </cell>
        </row>
        <row r="794">
          <cell r="B794" t="str">
            <v>44Laborer1KSA</v>
          </cell>
        </row>
        <row r="795">
          <cell r="B795" t="str">
            <v>44Laborer1KSA</v>
          </cell>
        </row>
        <row r="796">
          <cell r="B796" t="str">
            <v>44Laborer1KSA</v>
          </cell>
        </row>
        <row r="797">
          <cell r="B797" t="str">
            <v>44Safety Technician1KSA</v>
          </cell>
        </row>
        <row r="798">
          <cell r="B798" t="str">
            <v>44Light Vehicle Driver1IN</v>
          </cell>
        </row>
        <row r="799">
          <cell r="B799" t="str">
            <v>44Light Vehicle Driver1IN</v>
          </cell>
        </row>
        <row r="800">
          <cell r="B800" t="str">
            <v>44Light Vehicle Driver1IN</v>
          </cell>
        </row>
        <row r="801">
          <cell r="B801" t="str">
            <v>44Light Vehicle Driver1IN</v>
          </cell>
        </row>
        <row r="802">
          <cell r="B802" t="str">
            <v>44Light Vehicle Driver1IN</v>
          </cell>
        </row>
        <row r="803">
          <cell r="B803" t="str">
            <v>44Light Vehicle Driver1NP</v>
          </cell>
        </row>
        <row r="804">
          <cell r="B804" t="str">
            <v>44Light Vehicle Driver1NP</v>
          </cell>
        </row>
        <row r="805">
          <cell r="B805" t="str">
            <v>44Light Vehicle Driver1NP</v>
          </cell>
        </row>
        <row r="806">
          <cell r="B806" t="str">
            <v>44Light Vehicle Driver1IN</v>
          </cell>
        </row>
        <row r="807">
          <cell r="B807" t="str">
            <v>44Light Vehicle Driver1IN</v>
          </cell>
        </row>
        <row r="808">
          <cell r="B808" t="str">
            <v>44Light Vehicle Driver1IN</v>
          </cell>
        </row>
        <row r="809">
          <cell r="B809" t="str">
            <v>44Light Vehicle Driver1IN</v>
          </cell>
        </row>
        <row r="810">
          <cell r="B810" t="str">
            <v>44Light Vehicle Driver1IN</v>
          </cell>
        </row>
        <row r="811">
          <cell r="B811" t="str">
            <v>44Light Vehicle Driver1IN</v>
          </cell>
        </row>
        <row r="812">
          <cell r="B812" t="str">
            <v>44Light Vehicle Driver1IN</v>
          </cell>
        </row>
        <row r="813">
          <cell r="B813" t="str">
            <v>44Light Vehicle Driver1IN</v>
          </cell>
        </row>
        <row r="814">
          <cell r="B814" t="str">
            <v>44Light Vehicle Driver1IN</v>
          </cell>
        </row>
        <row r="815">
          <cell r="B815" t="str">
            <v>44Light Vehicle Driver1IN</v>
          </cell>
        </row>
        <row r="816">
          <cell r="B816" t="str">
            <v>44Light Vehicle Driver1IN</v>
          </cell>
        </row>
        <row r="817">
          <cell r="B817" t="str">
            <v>44Junior Administrative Assistant1IN</v>
          </cell>
        </row>
        <row r="818">
          <cell r="B818" t="str">
            <v>44Light Vehicle Driver1KSA</v>
          </cell>
        </row>
        <row r="819">
          <cell r="B819" t="str">
            <v>44Light Vehicle Driver1KSA</v>
          </cell>
        </row>
        <row r="820">
          <cell r="B820" t="str">
            <v>44Light Vehicle Driver1KSA</v>
          </cell>
        </row>
        <row r="821">
          <cell r="B821" t="str">
            <v>44Light Vehicle Driver1KSA</v>
          </cell>
        </row>
        <row r="822">
          <cell r="B822" t="str">
            <v>44Light Vehicle Driver1KSA</v>
          </cell>
        </row>
        <row r="823">
          <cell r="B823" t="str">
            <v>44Light Vehicle Driver1KSA</v>
          </cell>
        </row>
        <row r="824">
          <cell r="B824" t="str">
            <v>44Light Vehicle Driver1KSA</v>
          </cell>
        </row>
        <row r="825">
          <cell r="B825" t="str">
            <v>44Light Vehicle Driver1KSA</v>
          </cell>
        </row>
        <row r="826">
          <cell r="B826" t="str">
            <v>44Light Vehicle Driver1KSA</v>
          </cell>
        </row>
        <row r="827">
          <cell r="B827" t="str">
            <v>44Light Vehicle Driver1KSA</v>
          </cell>
        </row>
        <row r="828">
          <cell r="B828" t="str">
            <v>44Light Vehicle Driver1KSA</v>
          </cell>
        </row>
        <row r="829">
          <cell r="B829" t="str">
            <v>44Light Vehicle Driver1KSA</v>
          </cell>
        </row>
        <row r="830">
          <cell r="B830" t="str">
            <v>44Light Vehicle Driver1KSA</v>
          </cell>
        </row>
        <row r="831">
          <cell r="B831" t="str">
            <v>44Light Vehicle Driver1KSA</v>
          </cell>
        </row>
        <row r="832">
          <cell r="B832" t="str">
            <v>44Male Nurse1IN</v>
          </cell>
        </row>
        <row r="833">
          <cell r="B833" t="str">
            <v>44Male Nurse1IN</v>
          </cell>
        </row>
        <row r="834">
          <cell r="B834" t="str">
            <v>44Male Nurse1IN</v>
          </cell>
        </row>
        <row r="835">
          <cell r="B835" t="str">
            <v>44Male Nurse1IN</v>
          </cell>
        </row>
        <row r="836">
          <cell r="B836" t="str">
            <v>44Male Nurse1IN</v>
          </cell>
        </row>
        <row r="837">
          <cell r="B837" t="str">
            <v>44Male Nurse1IN</v>
          </cell>
        </row>
        <row r="838">
          <cell r="B838" t="str">
            <v>44Manager (Business Development)1IN</v>
          </cell>
        </row>
        <row r="839">
          <cell r="B839" t="str">
            <v>44Manager (Contracts)1IN</v>
          </cell>
        </row>
        <row r="840">
          <cell r="B840" t="str">
            <v>44Manager (QA/QC)1IN</v>
          </cell>
        </row>
        <row r="841">
          <cell r="B841" t="str">
            <v>44Manager (Resource&amp; Asset Management)1IN</v>
          </cell>
        </row>
        <row r="842">
          <cell r="B842" t="str">
            <v>44Mason1IN</v>
          </cell>
        </row>
        <row r="843">
          <cell r="B843" t="str">
            <v>44Mason1IN</v>
          </cell>
        </row>
        <row r="844">
          <cell r="B844" t="str">
            <v>44Mason1IN</v>
          </cell>
        </row>
        <row r="845">
          <cell r="B845" t="str">
            <v>44Mason1IN</v>
          </cell>
        </row>
        <row r="846">
          <cell r="B846" t="str">
            <v>44Mason1IN</v>
          </cell>
        </row>
        <row r="847">
          <cell r="B847" t="str">
            <v>44Mason1IN</v>
          </cell>
        </row>
        <row r="848">
          <cell r="B848" t="str">
            <v>44Mason1IN</v>
          </cell>
        </row>
        <row r="849">
          <cell r="B849" t="str">
            <v>44Material Chaser1IN</v>
          </cell>
        </row>
        <row r="850">
          <cell r="B850" t="str">
            <v>44Material Chaser1IN</v>
          </cell>
        </row>
        <row r="851">
          <cell r="B851" t="str">
            <v>44Material Chaser1IN</v>
          </cell>
        </row>
        <row r="852">
          <cell r="B852" t="str">
            <v>44Material Chaser1IN</v>
          </cell>
        </row>
        <row r="853">
          <cell r="B853" t="str">
            <v>44Material Chaser1BG</v>
          </cell>
        </row>
        <row r="854">
          <cell r="B854" t="str">
            <v>44Mechanic Gas Turbine1IN</v>
          </cell>
        </row>
        <row r="855">
          <cell r="B855" t="str">
            <v>44Mechanic Rotary Equipment1IN</v>
          </cell>
        </row>
        <row r="856">
          <cell r="B856" t="str">
            <v>44Mechanical Fitter1IN</v>
          </cell>
        </row>
        <row r="857">
          <cell r="B857" t="str">
            <v>44Mechanical Fitter1IN</v>
          </cell>
        </row>
        <row r="858">
          <cell r="B858" t="str">
            <v>44Mechanical Fitter1IN</v>
          </cell>
        </row>
        <row r="859">
          <cell r="B859" t="str">
            <v>44Mechanical Fitter1IN</v>
          </cell>
        </row>
        <row r="860">
          <cell r="B860" t="str">
            <v>44Mechanical Fitter1IN</v>
          </cell>
        </row>
        <row r="861">
          <cell r="B861" t="str">
            <v>44Mechanical Fitter1IN</v>
          </cell>
        </row>
        <row r="862">
          <cell r="B862" t="str">
            <v>44Mechanical Fitter1IN</v>
          </cell>
        </row>
        <row r="863">
          <cell r="B863" t="str">
            <v>44Mechanical Fitter1IN</v>
          </cell>
        </row>
        <row r="864">
          <cell r="B864" t="str">
            <v>44Mechanical Fitter1IN</v>
          </cell>
        </row>
        <row r="865">
          <cell r="B865" t="str">
            <v>44Mechanical Fitter1IN</v>
          </cell>
        </row>
        <row r="866">
          <cell r="B866" t="str">
            <v>44Mechanical Fitter1IN</v>
          </cell>
        </row>
        <row r="867">
          <cell r="B867" t="str">
            <v>44Mechanical Fitter1IN</v>
          </cell>
        </row>
        <row r="868">
          <cell r="B868" t="str">
            <v>44Mechanical Fitter1IN</v>
          </cell>
        </row>
        <row r="869">
          <cell r="B869" t="str">
            <v>44Mechanical Fitter1IN</v>
          </cell>
        </row>
        <row r="870">
          <cell r="B870" t="str">
            <v>44Auto Mechanic1IN</v>
          </cell>
        </row>
        <row r="871">
          <cell r="B871" t="str">
            <v>44Mechanical Fitter1IN</v>
          </cell>
        </row>
        <row r="872">
          <cell r="B872" t="str">
            <v>44Mechanical Fitter1IN</v>
          </cell>
        </row>
        <row r="873">
          <cell r="B873" t="str">
            <v>44Mechanical Fitter1IN</v>
          </cell>
        </row>
        <row r="874">
          <cell r="B874" t="str">
            <v>44Mechanical Fitter1IN</v>
          </cell>
        </row>
        <row r="875">
          <cell r="B875" t="str">
            <v>44Mechanical Fitter1IN</v>
          </cell>
        </row>
        <row r="876">
          <cell r="B876" t="str">
            <v>44Mechanical Fitter1IN</v>
          </cell>
        </row>
        <row r="877">
          <cell r="B877" t="str">
            <v>44Mechanical Fitter1IN</v>
          </cell>
        </row>
        <row r="878">
          <cell r="B878" t="str">
            <v>44Mechanical Fitter1IN</v>
          </cell>
        </row>
        <row r="879">
          <cell r="B879" t="str">
            <v>44Mechanical Fitter1IN</v>
          </cell>
        </row>
        <row r="880">
          <cell r="B880" t="str">
            <v>44Mechanical Fitter1IN</v>
          </cell>
        </row>
        <row r="881">
          <cell r="B881" t="str">
            <v>44Mechanical Fitter1IN</v>
          </cell>
        </row>
        <row r="882">
          <cell r="B882" t="str">
            <v>44Mechanical Fitter1IN</v>
          </cell>
        </row>
        <row r="883">
          <cell r="B883" t="str">
            <v>44Mechanical Fitter1IN</v>
          </cell>
        </row>
        <row r="884">
          <cell r="B884" t="str">
            <v>44Mechanical Fitter1IN</v>
          </cell>
        </row>
        <row r="885">
          <cell r="B885" t="str">
            <v>44Mechanical Fitter1IN</v>
          </cell>
        </row>
        <row r="886">
          <cell r="B886" t="str">
            <v>44Mechanical Fitter1IN</v>
          </cell>
        </row>
        <row r="887">
          <cell r="B887" t="str">
            <v>44Mechanical Fitter1IN</v>
          </cell>
        </row>
        <row r="888">
          <cell r="B888" t="str">
            <v>44Mechanical Fitter1IN</v>
          </cell>
        </row>
        <row r="889">
          <cell r="B889" t="str">
            <v>44Mechanical Fitter1IN</v>
          </cell>
        </row>
        <row r="890">
          <cell r="B890" t="str">
            <v>44Mechanical Fitter1IN</v>
          </cell>
        </row>
        <row r="891">
          <cell r="B891" t="str">
            <v>44Medium Vehicle Driver1BG</v>
          </cell>
        </row>
        <row r="892">
          <cell r="B892" t="str">
            <v>44Medium Vehicle Driver1NP</v>
          </cell>
        </row>
        <row r="893">
          <cell r="B893" t="str">
            <v>44Medium Vehicle Driver1KSA</v>
          </cell>
        </row>
        <row r="894">
          <cell r="B894" t="str">
            <v>44Medium Vehicle Driver1KSA</v>
          </cell>
        </row>
        <row r="895">
          <cell r="B895" t="str">
            <v>44Medium Vehicle Driver1KSA</v>
          </cell>
        </row>
        <row r="896">
          <cell r="B896" t="str">
            <v>44Medium Vehicle Driver1KSA</v>
          </cell>
        </row>
        <row r="897">
          <cell r="B897" t="str">
            <v>44Medium Vehicle Driver1KSA</v>
          </cell>
        </row>
        <row r="898">
          <cell r="B898" t="str">
            <v>44Medium Vehicle Driver1KSA</v>
          </cell>
        </row>
        <row r="899">
          <cell r="B899" t="str">
            <v>44Medium Vehicle Driver1KSA</v>
          </cell>
        </row>
        <row r="900">
          <cell r="B900" t="str">
            <v>44Medium Vehicle Driver1KSA</v>
          </cell>
        </row>
        <row r="901">
          <cell r="B901" t="str">
            <v>44Medium Vehicle Driver1KSA</v>
          </cell>
        </row>
        <row r="902">
          <cell r="B902" t="str">
            <v>44Mill Wright Fitter1IN</v>
          </cell>
        </row>
        <row r="903">
          <cell r="B903" t="str">
            <v>44Mill Wright Fitter1IN</v>
          </cell>
        </row>
        <row r="904">
          <cell r="B904" t="str">
            <v>44Mill Wright Fitter1IN</v>
          </cell>
        </row>
        <row r="905">
          <cell r="B905" t="str">
            <v>44Mill Wright Fitter1IN</v>
          </cell>
        </row>
        <row r="906">
          <cell r="B906" t="str">
            <v>44Mill Wright Fitter1IN</v>
          </cell>
        </row>
        <row r="907">
          <cell r="B907" t="str">
            <v>44Mill Wright Fitter1IN</v>
          </cell>
        </row>
        <row r="908">
          <cell r="B908" t="str">
            <v>44Mill Wright Fitter1IN</v>
          </cell>
        </row>
        <row r="909">
          <cell r="B909" t="str">
            <v>44Mill Wright Fitter1IN</v>
          </cell>
        </row>
        <row r="910">
          <cell r="B910" t="str">
            <v>44Mill Wright Fitter1IN</v>
          </cell>
        </row>
        <row r="911">
          <cell r="B911" t="str">
            <v>44Mill Wright Fitter1IN</v>
          </cell>
        </row>
        <row r="912">
          <cell r="B912" t="str">
            <v>44Mill Wright Fitter1IN</v>
          </cell>
        </row>
        <row r="913">
          <cell r="B913" t="str">
            <v>44Mill Wright Fitter1IN</v>
          </cell>
        </row>
        <row r="914">
          <cell r="B914" t="str">
            <v>44Mill Wright Fitter1IN</v>
          </cell>
        </row>
        <row r="915">
          <cell r="B915" t="str">
            <v>44Mill Wright Fitter1IN</v>
          </cell>
        </row>
        <row r="916">
          <cell r="B916" t="str">
            <v>44Mill Wright Fitter1IN</v>
          </cell>
        </row>
        <row r="917">
          <cell r="B917" t="str">
            <v>44Mill Wright Fitter1IN</v>
          </cell>
        </row>
        <row r="918">
          <cell r="B918" t="str">
            <v>44Mill Wright Fitter1IN</v>
          </cell>
        </row>
        <row r="919">
          <cell r="B919" t="str">
            <v>44Mill Wright Fitter1IN</v>
          </cell>
        </row>
        <row r="920">
          <cell r="B920" t="str">
            <v>44Pipe Fabricator1IN</v>
          </cell>
        </row>
        <row r="921">
          <cell r="B921" t="str">
            <v>44Mill Wright Fitter1IN</v>
          </cell>
        </row>
        <row r="922">
          <cell r="B922" t="str">
            <v>44Mill Wright Fitter1IN</v>
          </cell>
        </row>
        <row r="923">
          <cell r="B923" t="str">
            <v>44Mill Wright Fitter1IN</v>
          </cell>
        </row>
        <row r="924">
          <cell r="B924" t="str">
            <v>44Mill Wright Fitter1IN</v>
          </cell>
        </row>
        <row r="925">
          <cell r="B925" t="str">
            <v>44Mill Wright Fitter1IN</v>
          </cell>
        </row>
        <row r="926">
          <cell r="B926" t="str">
            <v>44Mill Wright Fitter1IN</v>
          </cell>
        </row>
        <row r="927">
          <cell r="B927" t="str">
            <v>44Mill Wright Fitter1IN</v>
          </cell>
        </row>
        <row r="928">
          <cell r="B928" t="str">
            <v>44Mill Wright Fitter1IN</v>
          </cell>
        </row>
        <row r="929">
          <cell r="B929" t="str">
            <v>44Mill Wright Fitter1IN</v>
          </cell>
        </row>
        <row r="930">
          <cell r="B930" t="str">
            <v>44Mill Wright Fitter1IN</v>
          </cell>
        </row>
        <row r="931">
          <cell r="B931" t="str">
            <v>44Mill Wright Fitter1IN</v>
          </cell>
        </row>
        <row r="932">
          <cell r="B932" t="str">
            <v>44Mill Wright Fitter1IN</v>
          </cell>
        </row>
        <row r="933">
          <cell r="B933" t="str">
            <v>44Mill Wright Fitter1IN</v>
          </cell>
        </row>
        <row r="934">
          <cell r="B934" t="str">
            <v>44Mill Wright Fitter1IN</v>
          </cell>
        </row>
        <row r="935">
          <cell r="B935" t="str">
            <v>44Mill Wright Fitter1IN</v>
          </cell>
        </row>
        <row r="936">
          <cell r="B936" t="str">
            <v>44Mill Wright Fitter1IN</v>
          </cell>
        </row>
        <row r="937">
          <cell r="B937" t="str">
            <v>44Mill Wright Fitter1IN</v>
          </cell>
        </row>
        <row r="938">
          <cell r="B938" t="str">
            <v>44Foreman (Mill Wright)1IN</v>
          </cell>
        </row>
        <row r="939">
          <cell r="B939" t="str">
            <v>44Office Boy1IN</v>
          </cell>
        </row>
        <row r="940">
          <cell r="B940" t="str">
            <v>44Office Boy1NP</v>
          </cell>
        </row>
        <row r="941">
          <cell r="B941" t="str">
            <v>44Office Boy1IN</v>
          </cell>
        </row>
        <row r="942">
          <cell r="B942" t="str">
            <v>44Office Boy1BG</v>
          </cell>
        </row>
        <row r="943">
          <cell r="B943" t="str">
            <v>44Office Boy1NP</v>
          </cell>
        </row>
        <row r="944">
          <cell r="B944" t="str">
            <v>44Office Boy1NP</v>
          </cell>
        </row>
        <row r="945">
          <cell r="B945" t="str">
            <v>44Office Boy1IN</v>
          </cell>
        </row>
        <row r="946">
          <cell r="B946" t="str">
            <v>44Assistant Administrative Officer1IN</v>
          </cell>
        </row>
        <row r="947">
          <cell r="B947" t="str">
            <v>44Office Secretary1IN</v>
          </cell>
        </row>
        <row r="948">
          <cell r="B948" t="str">
            <v>44Administration Officer1IN</v>
          </cell>
        </row>
        <row r="949">
          <cell r="B949" t="str">
            <v>44Painter1BG</v>
          </cell>
        </row>
        <row r="950">
          <cell r="B950" t="str">
            <v>44Painter1IN</v>
          </cell>
        </row>
        <row r="951">
          <cell r="B951" t="str">
            <v>44Painter1BG</v>
          </cell>
        </row>
        <row r="952">
          <cell r="B952" t="str">
            <v>44Painter1IN</v>
          </cell>
        </row>
        <row r="953">
          <cell r="B953" t="str">
            <v>44Painter1IN</v>
          </cell>
        </row>
        <row r="954">
          <cell r="B954" t="str">
            <v>44Painter1IN</v>
          </cell>
        </row>
        <row r="955">
          <cell r="B955" t="str">
            <v>44Painter1BG</v>
          </cell>
        </row>
        <row r="956">
          <cell r="B956" t="str">
            <v>44Painter1IN</v>
          </cell>
        </row>
        <row r="957">
          <cell r="B957" t="str">
            <v>44Permit Receiver1IN</v>
          </cell>
        </row>
        <row r="958">
          <cell r="B958" t="str">
            <v>44Pipe Fabricator1IN</v>
          </cell>
        </row>
        <row r="959">
          <cell r="B959" t="str">
            <v>44Pipe Fabricator1IN</v>
          </cell>
        </row>
        <row r="960">
          <cell r="B960" t="str">
            <v>44Pipe Fabricator1IN</v>
          </cell>
        </row>
        <row r="961">
          <cell r="B961" t="str">
            <v>44Pipe Fabricator1IN</v>
          </cell>
        </row>
        <row r="962">
          <cell r="B962" t="str">
            <v>44Pipe Fabricator1IN</v>
          </cell>
        </row>
        <row r="963">
          <cell r="B963" t="str">
            <v>44Pipe Fabricator1IN</v>
          </cell>
        </row>
        <row r="964">
          <cell r="B964" t="str">
            <v>44Pipe Fabricator1IN</v>
          </cell>
        </row>
        <row r="965">
          <cell r="B965" t="str">
            <v>44Pipe Fabricator1IN</v>
          </cell>
        </row>
        <row r="966">
          <cell r="B966" t="str">
            <v>44Pipe Fabricator1IN</v>
          </cell>
        </row>
        <row r="967">
          <cell r="B967" t="str">
            <v>44Pipe Fabricator1IN</v>
          </cell>
        </row>
        <row r="968">
          <cell r="B968" t="str">
            <v>44Pipe Fabricator1IN</v>
          </cell>
        </row>
        <row r="969">
          <cell r="B969" t="str">
            <v>44Pipe Fabricator1IN</v>
          </cell>
        </row>
        <row r="970">
          <cell r="B970" t="str">
            <v>44Pipe Fabricator1IN</v>
          </cell>
        </row>
        <row r="971">
          <cell r="B971" t="str">
            <v>44Pipe Fabricator1IN</v>
          </cell>
        </row>
        <row r="972">
          <cell r="B972" t="str">
            <v>44Pipe Fabricator1IN</v>
          </cell>
        </row>
        <row r="973">
          <cell r="B973" t="str">
            <v>44Pipe Fabricator1IN</v>
          </cell>
        </row>
        <row r="974">
          <cell r="B974" t="str">
            <v>44Pipe Fabricator1IN</v>
          </cell>
        </row>
        <row r="975">
          <cell r="B975" t="str">
            <v>44Pipe Fabricator1IN</v>
          </cell>
        </row>
        <row r="976">
          <cell r="B976" t="str">
            <v>44Pipe Fabricator1IN</v>
          </cell>
        </row>
        <row r="977">
          <cell r="B977" t="str">
            <v>44Pipe Fabricator1IN</v>
          </cell>
        </row>
        <row r="978">
          <cell r="B978" t="str">
            <v>44Pipe Fabricator1IN</v>
          </cell>
        </row>
        <row r="979">
          <cell r="B979" t="str">
            <v>44Pipe Fabricator1IN</v>
          </cell>
        </row>
        <row r="980">
          <cell r="B980" t="str">
            <v>44Pipe Fabricator1PH</v>
          </cell>
        </row>
        <row r="981">
          <cell r="B981" t="str">
            <v>44Pipe Fabricator1IN</v>
          </cell>
        </row>
        <row r="982">
          <cell r="B982" t="str">
            <v>44Pipe Fabricator1IN</v>
          </cell>
        </row>
        <row r="983">
          <cell r="B983" t="str">
            <v>44Pipe Fabricator1IN</v>
          </cell>
        </row>
        <row r="984">
          <cell r="B984" t="str">
            <v>44Pipe Fabricator1IN</v>
          </cell>
        </row>
        <row r="985">
          <cell r="B985" t="str">
            <v>44Foreman (Piping)1IN</v>
          </cell>
        </row>
        <row r="986">
          <cell r="B986" t="str">
            <v>44Pipe Fabricator1IN</v>
          </cell>
        </row>
        <row r="987">
          <cell r="B987" t="str">
            <v>44Pipe Fitter1IN</v>
          </cell>
        </row>
        <row r="988">
          <cell r="B988" t="str">
            <v>44Pipe Fitter1IN</v>
          </cell>
        </row>
        <row r="989">
          <cell r="B989" t="str">
            <v>44Pipe Fitter1IN</v>
          </cell>
        </row>
        <row r="990">
          <cell r="B990" t="str">
            <v>44Pipe Fitter1IN</v>
          </cell>
        </row>
        <row r="991">
          <cell r="B991" t="str">
            <v>44Pipe Fitter1IN</v>
          </cell>
        </row>
        <row r="992">
          <cell r="B992" t="str">
            <v>44Pipe Fitter1IN</v>
          </cell>
        </row>
        <row r="993">
          <cell r="B993" t="str">
            <v>44Pipe Fitter1IN</v>
          </cell>
        </row>
        <row r="994">
          <cell r="B994" t="str">
            <v>44Pipe Fitter1IN</v>
          </cell>
        </row>
        <row r="995">
          <cell r="B995" t="str">
            <v>44Pipe Fitter1IN</v>
          </cell>
        </row>
        <row r="996">
          <cell r="B996" t="str">
            <v>44Pipe Fitter1IN</v>
          </cell>
        </row>
        <row r="997">
          <cell r="B997" t="str">
            <v>44Pipe Fitter1IN</v>
          </cell>
        </row>
        <row r="998">
          <cell r="B998" t="str">
            <v>44Pipe Fitter1IN</v>
          </cell>
        </row>
        <row r="999">
          <cell r="B999" t="str">
            <v>44Pipe Fitter1IN</v>
          </cell>
        </row>
        <row r="1000">
          <cell r="B1000" t="str">
            <v>44Pipe Fitter1IN</v>
          </cell>
        </row>
        <row r="1001">
          <cell r="B1001" t="str">
            <v>44Pipe Fitter1IN</v>
          </cell>
        </row>
        <row r="1002">
          <cell r="B1002" t="str">
            <v>44Pipe Fitter1IN</v>
          </cell>
        </row>
        <row r="1003">
          <cell r="B1003" t="str">
            <v>44Pipe Fitter1IN</v>
          </cell>
        </row>
        <row r="1004">
          <cell r="B1004" t="str">
            <v>44Pipe Fitter1IN</v>
          </cell>
        </row>
        <row r="1005">
          <cell r="B1005" t="str">
            <v>44Pipe Fitter1IN</v>
          </cell>
        </row>
        <row r="1006">
          <cell r="B1006" t="str">
            <v>44Pipe Fitter1BG</v>
          </cell>
        </row>
        <row r="1007">
          <cell r="B1007" t="str">
            <v>44Pipe Fitter1IN</v>
          </cell>
        </row>
        <row r="1008">
          <cell r="B1008" t="str">
            <v>44Pipe Fitter1IN</v>
          </cell>
        </row>
        <row r="1009">
          <cell r="B1009" t="str">
            <v>44Pipe Fitter1IN</v>
          </cell>
        </row>
        <row r="1010">
          <cell r="B1010" t="str">
            <v>44Pipe Fitter1IN</v>
          </cell>
        </row>
        <row r="1011">
          <cell r="B1011" t="str">
            <v>44Pipe Fitter1IN</v>
          </cell>
        </row>
        <row r="1012">
          <cell r="B1012" t="str">
            <v>44Pipe Fitter1IN</v>
          </cell>
        </row>
        <row r="1013">
          <cell r="B1013" t="str">
            <v>44Pipe Fitter1IN</v>
          </cell>
        </row>
        <row r="1014">
          <cell r="B1014" t="str">
            <v>44Pipe Fitter1IN</v>
          </cell>
        </row>
        <row r="1015">
          <cell r="B1015" t="str">
            <v>44Pipe Fitter1IN</v>
          </cell>
        </row>
        <row r="1016">
          <cell r="B1016" t="str">
            <v>44Pipe Fitter1IN</v>
          </cell>
        </row>
        <row r="1017">
          <cell r="B1017" t="str">
            <v>44Pipe Fitter1IN</v>
          </cell>
        </row>
        <row r="1018">
          <cell r="B1018" t="str">
            <v>44Pipe Fitter1IN</v>
          </cell>
        </row>
        <row r="1019">
          <cell r="B1019" t="str">
            <v>44Pipe Fitter1IN</v>
          </cell>
        </row>
        <row r="1020">
          <cell r="B1020" t="str">
            <v>44Pipe Fitter1IN</v>
          </cell>
        </row>
        <row r="1021">
          <cell r="B1021" t="str">
            <v>44Pipe Fitter1IN</v>
          </cell>
        </row>
        <row r="1022">
          <cell r="B1022" t="str">
            <v>44Pipe Fitter1IN</v>
          </cell>
        </row>
        <row r="1023">
          <cell r="B1023" t="str">
            <v>44Pipe Fitter1IN</v>
          </cell>
        </row>
        <row r="1024">
          <cell r="B1024" t="str">
            <v>44Pipe Fitter1IN</v>
          </cell>
        </row>
        <row r="1025">
          <cell r="B1025" t="str">
            <v>44Pipe Fitter1IN</v>
          </cell>
        </row>
        <row r="1026">
          <cell r="B1026" t="str">
            <v>44Pipe Fitter1IN</v>
          </cell>
        </row>
        <row r="1027">
          <cell r="B1027" t="str">
            <v>44Pipe Fitter1IN</v>
          </cell>
        </row>
        <row r="1028">
          <cell r="B1028" t="str">
            <v>44Pipe Fitter1IN</v>
          </cell>
        </row>
        <row r="1029">
          <cell r="B1029" t="str">
            <v>44Pipe Fitter1IN</v>
          </cell>
        </row>
        <row r="1030">
          <cell r="B1030" t="str">
            <v>44Pipe Fitter1IN</v>
          </cell>
        </row>
        <row r="1031">
          <cell r="B1031" t="str">
            <v>44Pipe Fitter1IN</v>
          </cell>
        </row>
        <row r="1032">
          <cell r="B1032" t="str">
            <v>44Pipe Fitter1IN</v>
          </cell>
        </row>
        <row r="1033">
          <cell r="B1033" t="str">
            <v>44Pipe Fitter1IN</v>
          </cell>
        </row>
        <row r="1034">
          <cell r="B1034" t="str">
            <v>44Pipe Fitter1IN</v>
          </cell>
        </row>
        <row r="1035">
          <cell r="B1035" t="str">
            <v>44Pipe Fitter1IN</v>
          </cell>
        </row>
        <row r="1036">
          <cell r="B1036" t="str">
            <v>44Pipe Fitter1BG</v>
          </cell>
        </row>
        <row r="1037">
          <cell r="B1037" t="str">
            <v>44Pipe Fitter1BG</v>
          </cell>
        </row>
        <row r="1038">
          <cell r="B1038" t="str">
            <v>44Pipe Fitter1IN</v>
          </cell>
        </row>
        <row r="1039">
          <cell r="B1039" t="str">
            <v>44Pipe Fitter1IN</v>
          </cell>
        </row>
        <row r="1040">
          <cell r="B1040" t="str">
            <v>44Pipe Fitter1IN</v>
          </cell>
        </row>
        <row r="1041">
          <cell r="B1041" t="str">
            <v>44Pipe Fitter1IN</v>
          </cell>
        </row>
        <row r="1042">
          <cell r="B1042" t="str">
            <v>44Pipe Fitter1IN</v>
          </cell>
        </row>
        <row r="1043">
          <cell r="B1043" t="str">
            <v>44Pipe Fitter1IN</v>
          </cell>
        </row>
        <row r="1044">
          <cell r="B1044" t="str">
            <v>44Pipe Fitter1IN</v>
          </cell>
        </row>
        <row r="1045">
          <cell r="B1045" t="str">
            <v>44Pipe Fitter1IN</v>
          </cell>
        </row>
        <row r="1046">
          <cell r="B1046" t="str">
            <v>44Pipe Fitter1IN</v>
          </cell>
        </row>
        <row r="1047">
          <cell r="B1047" t="str">
            <v>44Pipe Fitter1IN</v>
          </cell>
        </row>
        <row r="1048">
          <cell r="B1048" t="str">
            <v>44Pipe Fitter1IN</v>
          </cell>
        </row>
        <row r="1049">
          <cell r="B1049" t="str">
            <v>44Pipe Fitter1BG</v>
          </cell>
        </row>
        <row r="1050">
          <cell r="B1050" t="str">
            <v>44Pipe Fitter1IN</v>
          </cell>
        </row>
        <row r="1051">
          <cell r="B1051" t="str">
            <v>44Pipe Fitter1IN</v>
          </cell>
        </row>
        <row r="1052">
          <cell r="B1052" t="str">
            <v>44Pipe Fitter1IN</v>
          </cell>
        </row>
        <row r="1053">
          <cell r="B1053" t="str">
            <v>44Pipe Fitter1IN</v>
          </cell>
        </row>
        <row r="1054">
          <cell r="B1054" t="str">
            <v>44Pipe Fitter1IN</v>
          </cell>
        </row>
        <row r="1055">
          <cell r="B1055" t="str">
            <v>44Pipe Fitter1IN</v>
          </cell>
        </row>
        <row r="1056">
          <cell r="B1056" t="str">
            <v>44Pipe Fitter1IN</v>
          </cell>
        </row>
        <row r="1057">
          <cell r="B1057" t="str">
            <v>44Pipe Fitter1IN</v>
          </cell>
        </row>
        <row r="1058">
          <cell r="B1058" t="str">
            <v>44Pipe Fabricator1IN</v>
          </cell>
        </row>
        <row r="1059">
          <cell r="B1059" t="str">
            <v>44Pipe Fitter1IN</v>
          </cell>
        </row>
        <row r="1060">
          <cell r="B1060" t="str">
            <v>44Pipe Fitter1IN</v>
          </cell>
        </row>
        <row r="1061">
          <cell r="B1061" t="str">
            <v>44Pipe Fitter1IN</v>
          </cell>
        </row>
        <row r="1062">
          <cell r="B1062" t="str">
            <v>44Pipe Fabricator1PH</v>
          </cell>
        </row>
        <row r="1063">
          <cell r="B1063" t="str">
            <v>44Pipe Fitter1IN</v>
          </cell>
        </row>
        <row r="1064">
          <cell r="B1064" t="str">
            <v>44Tig Welder1IN</v>
          </cell>
        </row>
        <row r="1065">
          <cell r="B1065" t="str">
            <v>44Tig Welder1IN</v>
          </cell>
        </row>
        <row r="1066">
          <cell r="B1066" t="str">
            <v>44Tig Welder1IN</v>
          </cell>
        </row>
        <row r="1067">
          <cell r="B1067" t="str">
            <v>44Tig Welder1BG</v>
          </cell>
        </row>
        <row r="1068">
          <cell r="B1068" t="str">
            <v>44Tig Welder1IN</v>
          </cell>
        </row>
        <row r="1069">
          <cell r="B1069" t="str">
            <v>44Tig Welder1IN</v>
          </cell>
        </row>
        <row r="1070">
          <cell r="B1070" t="str">
            <v>44Tig Welder1IN</v>
          </cell>
        </row>
        <row r="1071">
          <cell r="B1071" t="str">
            <v>44Tig Welder1IN</v>
          </cell>
        </row>
        <row r="1072">
          <cell r="B1072" t="str">
            <v>44Plate Welder1IN</v>
          </cell>
        </row>
        <row r="1073">
          <cell r="B1073" t="str">
            <v>44Plate Welder1IN</v>
          </cell>
        </row>
        <row r="1074">
          <cell r="B1074" t="str">
            <v>44Plate Welder1IN</v>
          </cell>
        </row>
        <row r="1075">
          <cell r="B1075" t="str">
            <v>44Plate Welder1IN</v>
          </cell>
        </row>
        <row r="1076">
          <cell r="B1076" t="str">
            <v>44Plate Welder1IN</v>
          </cell>
        </row>
        <row r="1077">
          <cell r="B1077" t="str">
            <v>44Plate Welder1IN</v>
          </cell>
        </row>
        <row r="1078">
          <cell r="B1078" t="str">
            <v>44Plate Welder1IN</v>
          </cell>
        </row>
        <row r="1079">
          <cell r="B1079" t="str">
            <v>44Plate Welder1IN</v>
          </cell>
        </row>
        <row r="1080">
          <cell r="B1080" t="str">
            <v>44Plate Welder1IN</v>
          </cell>
        </row>
        <row r="1081">
          <cell r="B1081" t="str">
            <v>44Plate Welder1IN</v>
          </cell>
        </row>
        <row r="1082">
          <cell r="B1082" t="str">
            <v>44Plate Welder1BG</v>
          </cell>
        </row>
        <row r="1083">
          <cell r="B1083" t="str">
            <v>44Plate Welder1IN</v>
          </cell>
        </row>
        <row r="1084">
          <cell r="B1084" t="str">
            <v>44Plate Welder1IN</v>
          </cell>
        </row>
        <row r="1085">
          <cell r="B1085" t="str">
            <v>44Plate Welder1IN</v>
          </cell>
        </row>
        <row r="1086">
          <cell r="B1086" t="str">
            <v>44Plate Welder1IN</v>
          </cell>
        </row>
        <row r="1087">
          <cell r="B1087" t="str">
            <v>44Plate Welder1IN</v>
          </cell>
        </row>
        <row r="1088">
          <cell r="B1088" t="str">
            <v>44Plate Welder1IN</v>
          </cell>
        </row>
        <row r="1089">
          <cell r="B1089" t="str">
            <v>44Plate Welder1IN</v>
          </cell>
        </row>
        <row r="1090">
          <cell r="B1090" t="str">
            <v>44Plate Welder1IN</v>
          </cell>
        </row>
        <row r="1091">
          <cell r="B1091" t="str">
            <v>44Plate Welder1IN</v>
          </cell>
        </row>
        <row r="1092">
          <cell r="B1092" t="str">
            <v>44Plate Welder1IN</v>
          </cell>
        </row>
        <row r="1093">
          <cell r="B1093" t="str">
            <v>44Plate Welder1IN</v>
          </cell>
        </row>
        <row r="1094">
          <cell r="B1094" t="str">
            <v>44Plate Welder1BG</v>
          </cell>
        </row>
        <row r="1095">
          <cell r="B1095" t="str">
            <v>44Plate Welder1BG</v>
          </cell>
        </row>
        <row r="1096">
          <cell r="B1096" t="str">
            <v>44Plate Welder1BG</v>
          </cell>
        </row>
        <row r="1097">
          <cell r="B1097" t="str">
            <v>44Plate Welder1BG</v>
          </cell>
        </row>
        <row r="1098">
          <cell r="B1098" t="str">
            <v>44Plate Welder1BG</v>
          </cell>
        </row>
        <row r="1099">
          <cell r="B1099" t="str">
            <v>44Plate Welder1IN</v>
          </cell>
        </row>
        <row r="1100">
          <cell r="B1100" t="str">
            <v>44Plate Welder1IN</v>
          </cell>
        </row>
        <row r="1101">
          <cell r="B1101" t="str">
            <v>44Plate Welder1IN</v>
          </cell>
        </row>
        <row r="1102">
          <cell r="B1102" t="str">
            <v>44Plate Welder1IN</v>
          </cell>
        </row>
        <row r="1103">
          <cell r="B1103" t="str">
            <v>44Plate Welder1IN</v>
          </cell>
        </row>
        <row r="1104">
          <cell r="B1104" t="str">
            <v>44Plate Welder1IN</v>
          </cell>
        </row>
        <row r="1105">
          <cell r="B1105" t="str">
            <v>44Plate Welder1IN</v>
          </cell>
        </row>
        <row r="1106">
          <cell r="B1106" t="str">
            <v>44Plate Welder1IN</v>
          </cell>
        </row>
        <row r="1107">
          <cell r="B1107" t="str">
            <v>44Plate Welder1IN</v>
          </cell>
        </row>
        <row r="1108">
          <cell r="B1108" t="str">
            <v>44Plate Welder1IN</v>
          </cell>
        </row>
        <row r="1109">
          <cell r="B1109" t="str">
            <v>44Plate Welder1BG</v>
          </cell>
        </row>
        <row r="1110">
          <cell r="B1110" t="str">
            <v>44Plate Welder1IN</v>
          </cell>
        </row>
        <row r="1111">
          <cell r="B1111" t="str">
            <v>44Plate Welder1IN</v>
          </cell>
        </row>
        <row r="1112">
          <cell r="B1112" t="str">
            <v>44Plate Welder1IN</v>
          </cell>
        </row>
        <row r="1113">
          <cell r="B1113" t="str">
            <v>44Plate Welder1IN</v>
          </cell>
        </row>
        <row r="1114">
          <cell r="B1114" t="str">
            <v>44Plate Welder1IN</v>
          </cell>
        </row>
        <row r="1115">
          <cell r="B1115" t="str">
            <v>44Plate Welder1IN</v>
          </cell>
        </row>
        <row r="1116">
          <cell r="B1116" t="str">
            <v>44Plate Welder1IN</v>
          </cell>
        </row>
        <row r="1117">
          <cell r="B1117" t="str">
            <v>44Plate Welder1IN</v>
          </cell>
        </row>
        <row r="1118">
          <cell r="B1118" t="str">
            <v>44Plate Welder1IN</v>
          </cell>
        </row>
        <row r="1119">
          <cell r="B1119" t="str">
            <v>44Plate Welder1IN</v>
          </cell>
        </row>
        <row r="1120">
          <cell r="B1120" t="str">
            <v>44Plate Welder1IN</v>
          </cell>
        </row>
        <row r="1121">
          <cell r="B1121" t="str">
            <v>44Plate Welder1IN</v>
          </cell>
        </row>
        <row r="1122">
          <cell r="B1122" t="str">
            <v>44Plate Welder1IN</v>
          </cell>
        </row>
        <row r="1123">
          <cell r="B1123" t="str">
            <v>44Plate Welder1IN</v>
          </cell>
        </row>
        <row r="1124">
          <cell r="B1124" t="str">
            <v>44Plate Welder1IN</v>
          </cell>
        </row>
        <row r="1125">
          <cell r="B1125" t="str">
            <v>44Plate Welder1IN</v>
          </cell>
        </row>
        <row r="1126">
          <cell r="B1126" t="str">
            <v>44Plate Welder1IN</v>
          </cell>
        </row>
        <row r="1127">
          <cell r="B1127" t="str">
            <v>44Plate Welder1IN</v>
          </cell>
        </row>
        <row r="1128">
          <cell r="B1128" t="str">
            <v>44Plate Welder1IN</v>
          </cell>
        </row>
        <row r="1129">
          <cell r="B1129" t="str">
            <v>44Plate Welder1IN</v>
          </cell>
        </row>
        <row r="1130">
          <cell r="B1130" t="str">
            <v>44Plate Welder1IN</v>
          </cell>
        </row>
        <row r="1131">
          <cell r="B1131" t="str">
            <v>44Tig Welder1BG</v>
          </cell>
        </row>
        <row r="1132">
          <cell r="B1132" t="str">
            <v>44Tig Welder1IN</v>
          </cell>
        </row>
        <row r="1133">
          <cell r="B1133" t="str">
            <v>44Tig Welder1IN</v>
          </cell>
        </row>
        <row r="1134">
          <cell r="B1134" t="str">
            <v>44Tig Welder1IN</v>
          </cell>
        </row>
        <row r="1135">
          <cell r="B1135" t="str">
            <v>44Tig Welder1IN</v>
          </cell>
        </row>
        <row r="1136">
          <cell r="B1136" t="str">
            <v>44Tig Welder1IN</v>
          </cell>
        </row>
        <row r="1137">
          <cell r="B1137" t="str">
            <v>44Tig Welder1IN</v>
          </cell>
        </row>
        <row r="1138">
          <cell r="B1138" t="str">
            <v>44Tig Welder1IN</v>
          </cell>
        </row>
        <row r="1139">
          <cell r="B1139" t="str">
            <v>44Plate Welder1IN</v>
          </cell>
        </row>
        <row r="1140">
          <cell r="B1140" t="str">
            <v>44Tig Welder1IN</v>
          </cell>
        </row>
        <row r="1141">
          <cell r="B1141" t="str">
            <v>44Tig Welder1IN</v>
          </cell>
        </row>
        <row r="1142">
          <cell r="B1142" t="str">
            <v>44Tig Welder1IN</v>
          </cell>
        </row>
        <row r="1143">
          <cell r="B1143" t="str">
            <v>44Tig Welder1IN</v>
          </cell>
        </row>
        <row r="1144">
          <cell r="B1144" t="str">
            <v>44Tig Welder1IN</v>
          </cell>
        </row>
        <row r="1145">
          <cell r="B1145" t="str">
            <v>44Plumber1IN</v>
          </cell>
        </row>
        <row r="1146">
          <cell r="B1146" t="str">
            <v>44Plumber1IN</v>
          </cell>
        </row>
        <row r="1147">
          <cell r="B1147" t="str">
            <v>44Plumber1IN</v>
          </cell>
        </row>
        <row r="1148">
          <cell r="B1148" t="str">
            <v>44Plumber1IN</v>
          </cell>
        </row>
        <row r="1149">
          <cell r="B1149" t="str">
            <v>44Plumber1IN</v>
          </cell>
        </row>
        <row r="1150">
          <cell r="B1150" t="str">
            <v>44Plumber1IN</v>
          </cell>
        </row>
        <row r="1151">
          <cell r="B1151" t="str">
            <v>44Project Manager1IN</v>
          </cell>
        </row>
        <row r="1152">
          <cell r="B1152" t="str">
            <v>44Pumps Operator1KSA</v>
          </cell>
        </row>
        <row r="1153">
          <cell r="B1153" t="str">
            <v>44Receptionist1KSA</v>
          </cell>
        </row>
        <row r="1154">
          <cell r="B1154" t="str">
            <v>44Receptionist1KSA</v>
          </cell>
        </row>
        <row r="1155">
          <cell r="B1155" t="str">
            <v>99Resident Engineer1IN</v>
          </cell>
        </row>
        <row r="1156">
          <cell r="B1156" t="str">
            <v>44Resident Engineer1IN</v>
          </cell>
        </row>
        <row r="1157">
          <cell r="B1157" t="str">
            <v>44Resident Engineer1IN</v>
          </cell>
        </row>
        <row r="1158">
          <cell r="B1158" t="str">
            <v>44Resident Engineer1IN</v>
          </cell>
        </row>
        <row r="1159">
          <cell r="B1159" t="str">
            <v>44Resident Engineer1IN</v>
          </cell>
        </row>
        <row r="1160">
          <cell r="B1160" t="str">
            <v>44Resident Engineer1IN</v>
          </cell>
        </row>
        <row r="1161">
          <cell r="B1161" t="str">
            <v>44Rigger1IN</v>
          </cell>
        </row>
        <row r="1162">
          <cell r="B1162" t="str">
            <v>44Rigger1BG</v>
          </cell>
        </row>
        <row r="1163">
          <cell r="B1163" t="str">
            <v>44Rigger1IN</v>
          </cell>
        </row>
        <row r="1164">
          <cell r="B1164" t="str">
            <v>44Rigger1IN</v>
          </cell>
        </row>
        <row r="1165">
          <cell r="B1165" t="str">
            <v>44Rigger1IN</v>
          </cell>
        </row>
        <row r="1166">
          <cell r="B1166" t="str">
            <v>44Rigger1IN</v>
          </cell>
        </row>
        <row r="1167">
          <cell r="B1167" t="str">
            <v>44Rigger1IN</v>
          </cell>
        </row>
        <row r="1168">
          <cell r="B1168" t="str">
            <v>44Rigger1IN</v>
          </cell>
        </row>
        <row r="1169">
          <cell r="B1169" t="str">
            <v>44Rigger1IN</v>
          </cell>
        </row>
        <row r="1170">
          <cell r="B1170" t="str">
            <v>44Rigger1IN</v>
          </cell>
        </row>
        <row r="1171">
          <cell r="B1171" t="str">
            <v>44Rigger1IN</v>
          </cell>
        </row>
        <row r="1172">
          <cell r="B1172" t="str">
            <v>44Rigger1IN</v>
          </cell>
        </row>
        <row r="1173">
          <cell r="B1173" t="str">
            <v>44Rigger1IN</v>
          </cell>
        </row>
        <row r="1174">
          <cell r="B1174" t="str">
            <v>44Rigger1IN</v>
          </cell>
        </row>
        <row r="1175">
          <cell r="B1175" t="str">
            <v>44Rigger1IN</v>
          </cell>
        </row>
        <row r="1176">
          <cell r="B1176" t="str">
            <v>44Rigger1IN</v>
          </cell>
        </row>
        <row r="1177">
          <cell r="B1177" t="str">
            <v>44Rigger1IN</v>
          </cell>
        </row>
        <row r="1178">
          <cell r="B1178" t="str">
            <v>44Rigger1IN</v>
          </cell>
        </row>
        <row r="1179">
          <cell r="B1179" t="str">
            <v>44Rigger1IN</v>
          </cell>
        </row>
        <row r="1180">
          <cell r="B1180" t="str">
            <v>44Rigger1IN</v>
          </cell>
        </row>
        <row r="1181">
          <cell r="B1181" t="str">
            <v>44Rigger1IN</v>
          </cell>
        </row>
        <row r="1182">
          <cell r="B1182" t="str">
            <v>44Rigger1IN</v>
          </cell>
        </row>
        <row r="1183">
          <cell r="B1183" t="str">
            <v>44Rigger1IN</v>
          </cell>
        </row>
        <row r="1184">
          <cell r="B1184" t="str">
            <v>44Rigger1IN</v>
          </cell>
        </row>
        <row r="1185">
          <cell r="B1185" t="str">
            <v>44Rigger1IN</v>
          </cell>
        </row>
        <row r="1186">
          <cell r="B1186" t="str">
            <v>44Rigger1IN</v>
          </cell>
        </row>
        <row r="1187">
          <cell r="B1187" t="str">
            <v>44Rigger1IN</v>
          </cell>
        </row>
        <row r="1188">
          <cell r="B1188" t="str">
            <v>44Rigger1IN</v>
          </cell>
        </row>
        <row r="1189">
          <cell r="B1189" t="str">
            <v>44Rigger1IN</v>
          </cell>
        </row>
        <row r="1190">
          <cell r="B1190" t="str">
            <v>44Rigger1IN</v>
          </cell>
        </row>
        <row r="1191">
          <cell r="B1191" t="str">
            <v>44Rigger1IN</v>
          </cell>
        </row>
        <row r="1192">
          <cell r="B1192" t="str">
            <v>44Rigger1IN</v>
          </cell>
        </row>
        <row r="1193">
          <cell r="B1193" t="str">
            <v>44Rigger1IN</v>
          </cell>
        </row>
        <row r="1194">
          <cell r="B1194" t="str">
            <v>44Rigger1IN</v>
          </cell>
        </row>
        <row r="1195">
          <cell r="B1195" t="str">
            <v>44Rigger1IN</v>
          </cell>
        </row>
        <row r="1196">
          <cell r="B1196" t="str">
            <v>44Rigger1IN</v>
          </cell>
        </row>
        <row r="1197">
          <cell r="B1197" t="str">
            <v>44Rigger1IN</v>
          </cell>
        </row>
        <row r="1198">
          <cell r="B1198" t="str">
            <v>44Rigger1IN</v>
          </cell>
        </row>
        <row r="1199">
          <cell r="B1199" t="str">
            <v>44Rigger1IN</v>
          </cell>
        </row>
        <row r="1200">
          <cell r="B1200" t="str">
            <v>44Rigger1IN</v>
          </cell>
        </row>
        <row r="1201">
          <cell r="B1201" t="str">
            <v>44Rigger1IN</v>
          </cell>
        </row>
        <row r="1202">
          <cell r="B1202" t="str">
            <v>44Rigger1IN</v>
          </cell>
        </row>
        <row r="1203">
          <cell r="B1203" t="str">
            <v>44Rigger1IN</v>
          </cell>
        </row>
        <row r="1204">
          <cell r="B1204" t="str">
            <v>44Rigger1IN</v>
          </cell>
        </row>
        <row r="1205">
          <cell r="B1205" t="str">
            <v>44Rigger1IN</v>
          </cell>
        </row>
        <row r="1206">
          <cell r="B1206" t="str">
            <v>44Rigger1IN</v>
          </cell>
        </row>
        <row r="1207">
          <cell r="B1207" t="str">
            <v>44Rigger1IN</v>
          </cell>
        </row>
        <row r="1208">
          <cell r="B1208" t="str">
            <v>44Rigger1IN</v>
          </cell>
        </row>
        <row r="1209">
          <cell r="B1209" t="str">
            <v>44Rigger1IN</v>
          </cell>
        </row>
        <row r="1210">
          <cell r="B1210" t="str">
            <v>44Rigger1IN</v>
          </cell>
        </row>
        <row r="1211">
          <cell r="B1211" t="str">
            <v>44Rigger1IN</v>
          </cell>
        </row>
        <row r="1212">
          <cell r="B1212" t="str">
            <v>44Rigger1IN</v>
          </cell>
        </row>
        <row r="1213">
          <cell r="B1213" t="str">
            <v>44Rigger1IN</v>
          </cell>
        </row>
        <row r="1214">
          <cell r="B1214" t="str">
            <v>44Rigger1IN</v>
          </cell>
        </row>
        <row r="1215">
          <cell r="B1215" t="str">
            <v>44Rigger1IN</v>
          </cell>
        </row>
        <row r="1216">
          <cell r="B1216" t="str">
            <v>44Rigger1IN</v>
          </cell>
        </row>
        <row r="1217">
          <cell r="B1217" t="str">
            <v>44Rigger1IN</v>
          </cell>
        </row>
        <row r="1218">
          <cell r="B1218" t="str">
            <v>44Rigger1IN</v>
          </cell>
        </row>
        <row r="1219">
          <cell r="B1219" t="str">
            <v>44Rigger1IN</v>
          </cell>
        </row>
        <row r="1220">
          <cell r="B1220" t="str">
            <v>44Rigger1IN</v>
          </cell>
        </row>
        <row r="1221">
          <cell r="B1221" t="str">
            <v>44Rigger1IN</v>
          </cell>
        </row>
        <row r="1222">
          <cell r="B1222" t="str">
            <v>44Rigger1IN</v>
          </cell>
        </row>
        <row r="1223">
          <cell r="B1223" t="str">
            <v>44Rigger1IN</v>
          </cell>
        </row>
        <row r="1224">
          <cell r="B1224" t="str">
            <v>44Rigger1IN</v>
          </cell>
        </row>
        <row r="1225">
          <cell r="B1225" t="str">
            <v>44Rigger1IN</v>
          </cell>
        </row>
        <row r="1226">
          <cell r="B1226" t="str">
            <v>44Rigger1IN</v>
          </cell>
        </row>
        <row r="1227">
          <cell r="B1227" t="str">
            <v>44Rigger1IN</v>
          </cell>
        </row>
        <row r="1228">
          <cell r="B1228" t="str">
            <v>44Rigger1IN</v>
          </cell>
        </row>
        <row r="1229">
          <cell r="B1229" t="str">
            <v>44Rigger1IN</v>
          </cell>
        </row>
        <row r="1230">
          <cell r="B1230" t="str">
            <v>44Rigger1IN</v>
          </cell>
        </row>
        <row r="1231">
          <cell r="B1231" t="str">
            <v>44Rigger1IN</v>
          </cell>
        </row>
        <row r="1232">
          <cell r="B1232" t="str">
            <v>44Rigger1IN</v>
          </cell>
        </row>
        <row r="1233">
          <cell r="B1233" t="str">
            <v>44Rigger1IN</v>
          </cell>
        </row>
        <row r="1234">
          <cell r="B1234" t="str">
            <v>44Rigger1IN</v>
          </cell>
        </row>
        <row r="1235">
          <cell r="B1235" t="str">
            <v>44Rigger1IN</v>
          </cell>
        </row>
        <row r="1236">
          <cell r="B1236" t="str">
            <v>44Rigger1IN</v>
          </cell>
        </row>
        <row r="1237">
          <cell r="B1237" t="str">
            <v>44Rigger1IN</v>
          </cell>
        </row>
        <row r="1238">
          <cell r="B1238" t="str">
            <v>44Rigger1IN</v>
          </cell>
        </row>
        <row r="1239">
          <cell r="B1239" t="str">
            <v>44Rigger1IN</v>
          </cell>
        </row>
        <row r="1240">
          <cell r="B1240" t="str">
            <v>44Rigger1IN</v>
          </cell>
        </row>
        <row r="1241">
          <cell r="B1241" t="str">
            <v>44Rigger1IN</v>
          </cell>
        </row>
        <row r="1242">
          <cell r="B1242" t="str">
            <v>44Rigger1IN</v>
          </cell>
        </row>
        <row r="1243">
          <cell r="B1243" t="str">
            <v>44Rigger1IN</v>
          </cell>
        </row>
        <row r="1244">
          <cell r="B1244" t="str">
            <v>44Rigger1IN</v>
          </cell>
        </row>
        <row r="1245">
          <cell r="B1245" t="str">
            <v>44Rigger1IN</v>
          </cell>
        </row>
        <row r="1246">
          <cell r="B1246" t="str">
            <v>44Rigger1IN</v>
          </cell>
        </row>
        <row r="1247">
          <cell r="B1247" t="str">
            <v>44Rigger1IN</v>
          </cell>
        </row>
        <row r="1248">
          <cell r="B1248" t="str">
            <v>44Rigger1IN</v>
          </cell>
        </row>
        <row r="1249">
          <cell r="B1249" t="str">
            <v>44Rigger1IN</v>
          </cell>
        </row>
        <row r="1250">
          <cell r="B1250" t="str">
            <v>44Rigger1IN</v>
          </cell>
        </row>
        <row r="1251">
          <cell r="B1251" t="str">
            <v>44Rigger1IN</v>
          </cell>
        </row>
        <row r="1252">
          <cell r="B1252" t="str">
            <v>44Rigger1IN</v>
          </cell>
        </row>
        <row r="1253">
          <cell r="B1253" t="str">
            <v>44Rigger1IN</v>
          </cell>
        </row>
        <row r="1254">
          <cell r="B1254" t="str">
            <v>44Rigger1IN</v>
          </cell>
        </row>
        <row r="1255">
          <cell r="B1255" t="str">
            <v>44Rigger1IN</v>
          </cell>
        </row>
        <row r="1256">
          <cell r="B1256" t="str">
            <v>44Rigger1IN</v>
          </cell>
        </row>
        <row r="1257">
          <cell r="B1257" t="str">
            <v>44Rigger1IN</v>
          </cell>
        </row>
        <row r="1258">
          <cell r="B1258" t="str">
            <v>44Rigger1IN</v>
          </cell>
        </row>
        <row r="1259">
          <cell r="B1259" t="str">
            <v>44Rigger1IN</v>
          </cell>
        </row>
        <row r="1260">
          <cell r="B1260" t="str">
            <v>44Rigger1IN</v>
          </cell>
        </row>
        <row r="1261">
          <cell r="B1261" t="str">
            <v>44Rigger1IN</v>
          </cell>
        </row>
        <row r="1262">
          <cell r="B1262" t="str">
            <v>44Rigger1IN</v>
          </cell>
        </row>
        <row r="1263">
          <cell r="B1263" t="str">
            <v>44Rigger1IN</v>
          </cell>
        </row>
        <row r="1264">
          <cell r="B1264" t="str">
            <v>44Rigger1IN</v>
          </cell>
        </row>
        <row r="1265">
          <cell r="B1265" t="str">
            <v>44Rigger1IN</v>
          </cell>
        </row>
        <row r="1266">
          <cell r="B1266" t="str">
            <v>44Rigger1IN</v>
          </cell>
        </row>
        <row r="1267">
          <cell r="B1267" t="str">
            <v>44Rigger1IN</v>
          </cell>
        </row>
        <row r="1268">
          <cell r="B1268" t="str">
            <v>44Rigger1IN</v>
          </cell>
        </row>
        <row r="1269">
          <cell r="B1269" t="str">
            <v>44Rigger1IN</v>
          </cell>
        </row>
        <row r="1270">
          <cell r="B1270" t="str">
            <v>44Rigger1IN</v>
          </cell>
        </row>
        <row r="1271">
          <cell r="B1271" t="str">
            <v>44Rigger1IN</v>
          </cell>
        </row>
        <row r="1272">
          <cell r="B1272" t="str">
            <v>44Rigger1IN</v>
          </cell>
        </row>
        <row r="1273">
          <cell r="B1273" t="str">
            <v>44Rigger1IN</v>
          </cell>
        </row>
        <row r="1274">
          <cell r="B1274" t="str">
            <v>44Rigger1IN</v>
          </cell>
        </row>
        <row r="1275">
          <cell r="B1275" t="str">
            <v>44Rigger1IN</v>
          </cell>
        </row>
        <row r="1276">
          <cell r="B1276" t="str">
            <v>44Rigger1IN</v>
          </cell>
        </row>
        <row r="1277">
          <cell r="B1277" t="str">
            <v>44Rigger1IN</v>
          </cell>
        </row>
        <row r="1278">
          <cell r="B1278" t="str">
            <v>44Rigger1IN</v>
          </cell>
        </row>
        <row r="1279">
          <cell r="B1279" t="str">
            <v>44Rigger1IN</v>
          </cell>
        </row>
        <row r="1280">
          <cell r="B1280" t="str">
            <v>44Rigger1IN</v>
          </cell>
        </row>
        <row r="1281">
          <cell r="B1281" t="str">
            <v>44Rigger1IN</v>
          </cell>
        </row>
        <row r="1282">
          <cell r="B1282" t="str">
            <v>44Rigger1IN</v>
          </cell>
        </row>
        <row r="1283">
          <cell r="B1283" t="str">
            <v>44Rigger1IN</v>
          </cell>
        </row>
        <row r="1284">
          <cell r="B1284" t="str">
            <v>44Rigger1IN</v>
          </cell>
        </row>
        <row r="1285">
          <cell r="B1285" t="str">
            <v>44Rigger1IN</v>
          </cell>
        </row>
        <row r="1286">
          <cell r="B1286" t="str">
            <v>44Rigger1IN</v>
          </cell>
        </row>
        <row r="1287">
          <cell r="B1287" t="str">
            <v>44Rigger1IN</v>
          </cell>
        </row>
        <row r="1288">
          <cell r="B1288" t="str">
            <v>44Rigger1IN</v>
          </cell>
        </row>
        <row r="1289">
          <cell r="B1289" t="str">
            <v>44Rigger1IN</v>
          </cell>
        </row>
        <row r="1290">
          <cell r="B1290" t="str">
            <v>44Rigger1IN</v>
          </cell>
        </row>
        <row r="1291">
          <cell r="B1291" t="str">
            <v>44Rigger1IN</v>
          </cell>
        </row>
        <row r="1292">
          <cell r="B1292" t="str">
            <v>44Rigger1IN</v>
          </cell>
        </row>
        <row r="1293">
          <cell r="B1293" t="str">
            <v>44Rigger1IN</v>
          </cell>
        </row>
        <row r="1294">
          <cell r="B1294" t="str">
            <v>44Rigger1IN</v>
          </cell>
        </row>
        <row r="1295">
          <cell r="B1295" t="str">
            <v>44Rigger1IN</v>
          </cell>
        </row>
        <row r="1296">
          <cell r="B1296" t="str">
            <v>44Rigger1IN</v>
          </cell>
        </row>
        <row r="1297">
          <cell r="B1297" t="str">
            <v>44Rigger1IN</v>
          </cell>
        </row>
        <row r="1298">
          <cell r="B1298" t="str">
            <v>44Rigger1IN</v>
          </cell>
        </row>
        <row r="1299">
          <cell r="B1299" t="str">
            <v>44Rigger1IN</v>
          </cell>
        </row>
        <row r="1300">
          <cell r="B1300" t="str">
            <v>44Rigger1IN</v>
          </cell>
        </row>
        <row r="1301">
          <cell r="B1301" t="str">
            <v>44Rigger1IN</v>
          </cell>
        </row>
        <row r="1302">
          <cell r="B1302" t="str">
            <v>44Rigger1IN</v>
          </cell>
        </row>
        <row r="1303">
          <cell r="B1303" t="str">
            <v>44Rigger1IN</v>
          </cell>
        </row>
        <row r="1304">
          <cell r="B1304" t="str">
            <v>44Rigger1IN</v>
          </cell>
        </row>
        <row r="1305">
          <cell r="B1305" t="str">
            <v>44Rigger1IN</v>
          </cell>
        </row>
        <row r="1306">
          <cell r="B1306" t="str">
            <v>44Rigger1IN</v>
          </cell>
        </row>
        <row r="1307">
          <cell r="B1307" t="str">
            <v>44Rigger1IN</v>
          </cell>
        </row>
        <row r="1308">
          <cell r="B1308" t="str">
            <v>44Rigger1IN</v>
          </cell>
        </row>
        <row r="1309">
          <cell r="B1309" t="str">
            <v>44Rigger1IN</v>
          </cell>
        </row>
        <row r="1310">
          <cell r="B1310" t="str">
            <v>44Rigger1IN</v>
          </cell>
        </row>
        <row r="1311">
          <cell r="B1311" t="str">
            <v>44Rigger1IN</v>
          </cell>
        </row>
        <row r="1312">
          <cell r="B1312" t="str">
            <v>44Rigger1IN</v>
          </cell>
        </row>
        <row r="1313">
          <cell r="B1313" t="str">
            <v>44Rigger1IN</v>
          </cell>
        </row>
        <row r="1314">
          <cell r="B1314" t="str">
            <v>44Rigger1IN</v>
          </cell>
        </row>
        <row r="1315">
          <cell r="B1315" t="str">
            <v>44Rigger1IN</v>
          </cell>
        </row>
        <row r="1316">
          <cell r="B1316" t="str">
            <v>44Rigger1IN</v>
          </cell>
        </row>
        <row r="1317">
          <cell r="B1317" t="str">
            <v>44Rigger1IN</v>
          </cell>
        </row>
        <row r="1318">
          <cell r="B1318" t="str">
            <v>44Rigger1IN</v>
          </cell>
        </row>
        <row r="1319">
          <cell r="B1319" t="str">
            <v>44Rigger1IN</v>
          </cell>
        </row>
        <row r="1320">
          <cell r="B1320" t="str">
            <v>44Rigger1IN</v>
          </cell>
        </row>
        <row r="1321">
          <cell r="B1321" t="str">
            <v>44Rigger1IN</v>
          </cell>
        </row>
        <row r="1322">
          <cell r="B1322" t="str">
            <v>44Rigger1IN</v>
          </cell>
        </row>
        <row r="1323">
          <cell r="B1323" t="str">
            <v>44Rigger1IN</v>
          </cell>
        </row>
        <row r="1324">
          <cell r="B1324" t="str">
            <v>44Rigger1IN</v>
          </cell>
        </row>
        <row r="1325">
          <cell r="B1325" t="str">
            <v>44Rigger1IN</v>
          </cell>
        </row>
        <row r="1326">
          <cell r="B1326" t="str">
            <v>44Rigger1IN</v>
          </cell>
        </row>
        <row r="1327">
          <cell r="B1327" t="str">
            <v>44Rigger1IN</v>
          </cell>
        </row>
        <row r="1328">
          <cell r="B1328" t="str">
            <v>44Rigger1IN</v>
          </cell>
        </row>
        <row r="1329">
          <cell r="B1329" t="str">
            <v>44Rigger1IN</v>
          </cell>
        </row>
        <row r="1330">
          <cell r="B1330" t="str">
            <v>44Rigger1IN</v>
          </cell>
        </row>
        <row r="1331">
          <cell r="B1331" t="str">
            <v>44Rigger1IN</v>
          </cell>
        </row>
        <row r="1332">
          <cell r="B1332" t="str">
            <v>44Rigger1IN</v>
          </cell>
        </row>
        <row r="1333">
          <cell r="B1333" t="str">
            <v>44Rigger1IN</v>
          </cell>
        </row>
        <row r="1334">
          <cell r="B1334" t="str">
            <v>44Rigger1IN</v>
          </cell>
        </row>
        <row r="1335">
          <cell r="B1335" t="str">
            <v>44Rigger1IN</v>
          </cell>
        </row>
        <row r="1336">
          <cell r="B1336" t="str">
            <v>44Rigger1IN</v>
          </cell>
        </row>
        <row r="1337">
          <cell r="B1337" t="str">
            <v>44Rigger1IN</v>
          </cell>
        </row>
        <row r="1338">
          <cell r="B1338" t="str">
            <v>44Rigger1IN</v>
          </cell>
        </row>
        <row r="1339">
          <cell r="B1339" t="str">
            <v>44Rigger1IN</v>
          </cell>
        </row>
        <row r="1340">
          <cell r="B1340" t="str">
            <v>44Rigger1IN</v>
          </cell>
        </row>
        <row r="1341">
          <cell r="B1341" t="str">
            <v>44Rigger1IN</v>
          </cell>
        </row>
        <row r="1342">
          <cell r="B1342" t="str">
            <v>44Rigger1IN</v>
          </cell>
        </row>
        <row r="1343">
          <cell r="B1343" t="str">
            <v>44Rigger1IN</v>
          </cell>
        </row>
        <row r="1344">
          <cell r="B1344" t="str">
            <v>44Rigger1IN</v>
          </cell>
        </row>
        <row r="1345">
          <cell r="B1345" t="str">
            <v>44Rigger1IN</v>
          </cell>
        </row>
        <row r="1346">
          <cell r="B1346" t="str">
            <v>44Light Vehicle Driver1IN</v>
          </cell>
        </row>
        <row r="1347">
          <cell r="B1347" t="str">
            <v>44Junior Electrical Fitter1IN</v>
          </cell>
        </row>
        <row r="1348">
          <cell r="B1348" t="str">
            <v>44Rigger1IN</v>
          </cell>
        </row>
        <row r="1349">
          <cell r="B1349" t="str">
            <v>44Rigger1IN</v>
          </cell>
        </row>
        <row r="1350">
          <cell r="B1350" t="str">
            <v>44Rigger1IN</v>
          </cell>
        </row>
        <row r="1351">
          <cell r="B1351" t="str">
            <v>44Rigger1IN</v>
          </cell>
        </row>
        <row r="1352">
          <cell r="B1352" t="str">
            <v>44Rigger1IN</v>
          </cell>
        </row>
        <row r="1353">
          <cell r="B1353" t="str">
            <v>44Rigger1IN</v>
          </cell>
        </row>
        <row r="1354">
          <cell r="B1354" t="str">
            <v>44Rigger1IN</v>
          </cell>
        </row>
        <row r="1355">
          <cell r="B1355" t="str">
            <v>44Rigger1IN</v>
          </cell>
        </row>
        <row r="1356">
          <cell r="B1356" t="str">
            <v>44Rigger1IN</v>
          </cell>
        </row>
        <row r="1357">
          <cell r="B1357" t="str">
            <v>44Rigger1IN</v>
          </cell>
        </row>
        <row r="1358">
          <cell r="B1358" t="str">
            <v>44Rigger1IN</v>
          </cell>
        </row>
        <row r="1359">
          <cell r="B1359" t="str">
            <v>44Rigger1IN</v>
          </cell>
        </row>
        <row r="1360">
          <cell r="B1360" t="str">
            <v>44Rigger1IN</v>
          </cell>
        </row>
        <row r="1361">
          <cell r="B1361" t="str">
            <v>44Rigger1IN</v>
          </cell>
        </row>
        <row r="1362">
          <cell r="B1362" t="str">
            <v>44Rigger1IN</v>
          </cell>
        </row>
        <row r="1363">
          <cell r="B1363" t="str">
            <v>44Rigger1IN</v>
          </cell>
        </row>
        <row r="1364">
          <cell r="B1364" t="str">
            <v>44Rigger1IN</v>
          </cell>
        </row>
        <row r="1365">
          <cell r="B1365" t="str">
            <v>44Rigger1IN</v>
          </cell>
        </row>
        <row r="1366">
          <cell r="B1366" t="str">
            <v>44Rigger1IN</v>
          </cell>
        </row>
        <row r="1367">
          <cell r="B1367" t="str">
            <v>44Rigger1IN</v>
          </cell>
        </row>
        <row r="1368">
          <cell r="B1368" t="str">
            <v>44Rigger1IN</v>
          </cell>
        </row>
        <row r="1369">
          <cell r="B1369" t="str">
            <v>44Rigger1IN</v>
          </cell>
        </row>
        <row r="1370">
          <cell r="B1370" t="str">
            <v>44Rigger1IN</v>
          </cell>
        </row>
        <row r="1371">
          <cell r="B1371" t="str">
            <v>44Rigger1IN</v>
          </cell>
        </row>
        <row r="1372">
          <cell r="B1372" t="str">
            <v>44Structural Fitter1IN</v>
          </cell>
        </row>
        <row r="1373">
          <cell r="B1373" t="str">
            <v>44Camp Attendant1IN</v>
          </cell>
        </row>
        <row r="1374">
          <cell r="B1374" t="str">
            <v>44Plate Welder1IN</v>
          </cell>
        </row>
        <row r="1375">
          <cell r="B1375" t="str">
            <v>44Plate Welder1IN</v>
          </cell>
        </row>
        <row r="1376">
          <cell r="B1376" t="str">
            <v>44Plate Welder1IN</v>
          </cell>
        </row>
        <row r="1377">
          <cell r="B1377" t="str">
            <v>44Rigger1IN</v>
          </cell>
        </row>
        <row r="1378">
          <cell r="B1378" t="str">
            <v>44Rigger1IN</v>
          </cell>
        </row>
        <row r="1379">
          <cell r="B1379" t="str">
            <v>44Rigger1IN</v>
          </cell>
        </row>
        <row r="1380">
          <cell r="B1380" t="str">
            <v>44Rigger1IN</v>
          </cell>
        </row>
        <row r="1381">
          <cell r="B1381" t="str">
            <v>44Rigger1BG</v>
          </cell>
        </row>
        <row r="1382">
          <cell r="B1382" t="str">
            <v>44Rigger1BG</v>
          </cell>
        </row>
        <row r="1383">
          <cell r="B1383" t="str">
            <v>44Rigger1BG</v>
          </cell>
        </row>
        <row r="1384">
          <cell r="B1384" t="str">
            <v>44Rigger1IN</v>
          </cell>
        </row>
        <row r="1385">
          <cell r="B1385" t="str">
            <v>44Rigger1IN</v>
          </cell>
        </row>
        <row r="1386">
          <cell r="B1386" t="str">
            <v>44Rigger1BG</v>
          </cell>
        </row>
        <row r="1387">
          <cell r="B1387" t="str">
            <v>44Rigger1BG</v>
          </cell>
        </row>
        <row r="1388">
          <cell r="B1388" t="str">
            <v>44Rigger1BG</v>
          </cell>
        </row>
        <row r="1389">
          <cell r="B1389" t="str">
            <v>44Rigger1BG</v>
          </cell>
        </row>
        <row r="1390">
          <cell r="B1390" t="str">
            <v>44Rigger1BG</v>
          </cell>
        </row>
        <row r="1391">
          <cell r="B1391" t="str">
            <v>44Rigger1BG</v>
          </cell>
        </row>
        <row r="1392">
          <cell r="B1392" t="str">
            <v>44Rigger1IN</v>
          </cell>
        </row>
        <row r="1393">
          <cell r="B1393" t="str">
            <v>44Sarang1IN</v>
          </cell>
        </row>
        <row r="1394">
          <cell r="B1394" t="str">
            <v>44Rigger1IN</v>
          </cell>
        </row>
        <row r="1395">
          <cell r="B1395" t="str">
            <v>44Rigger1BG</v>
          </cell>
        </row>
        <row r="1396">
          <cell r="B1396" t="str">
            <v>44Rigger1BG</v>
          </cell>
        </row>
        <row r="1397">
          <cell r="B1397" t="str">
            <v>44Rigger1IN</v>
          </cell>
        </row>
        <row r="1398">
          <cell r="B1398" t="str">
            <v>44Rigger1IN</v>
          </cell>
        </row>
        <row r="1399">
          <cell r="B1399" t="str">
            <v>44Rigger1IN</v>
          </cell>
        </row>
        <row r="1400">
          <cell r="B1400" t="str">
            <v>44Rigger1BG</v>
          </cell>
        </row>
        <row r="1401">
          <cell r="B1401" t="str">
            <v>44Rigger1BG</v>
          </cell>
        </row>
        <row r="1402">
          <cell r="B1402" t="str">
            <v>44Rigger1BG</v>
          </cell>
        </row>
        <row r="1403">
          <cell r="B1403" t="str">
            <v>44Rigger1BG</v>
          </cell>
        </row>
        <row r="1404">
          <cell r="B1404" t="str">
            <v>44Rigger1BG</v>
          </cell>
        </row>
        <row r="1405">
          <cell r="B1405" t="str">
            <v>44Rigger1BG</v>
          </cell>
        </row>
        <row r="1406">
          <cell r="B1406" t="str">
            <v>44Rigger1BG</v>
          </cell>
        </row>
        <row r="1407">
          <cell r="B1407" t="str">
            <v>44Rigger1BG</v>
          </cell>
        </row>
        <row r="1408">
          <cell r="B1408" t="str">
            <v>44Rigger1BG</v>
          </cell>
        </row>
        <row r="1409">
          <cell r="B1409" t="str">
            <v>44Rigger1BG</v>
          </cell>
        </row>
        <row r="1410">
          <cell r="B1410" t="str">
            <v>44Rigger1BG</v>
          </cell>
        </row>
        <row r="1411">
          <cell r="B1411" t="str">
            <v>44Rigger1BG</v>
          </cell>
        </row>
        <row r="1412">
          <cell r="B1412" t="str">
            <v>44Rigger1BG</v>
          </cell>
        </row>
        <row r="1413">
          <cell r="B1413" t="str">
            <v>44Rigger1BG</v>
          </cell>
        </row>
        <row r="1414">
          <cell r="B1414" t="str">
            <v>44Rigger1BG</v>
          </cell>
        </row>
        <row r="1415">
          <cell r="B1415" t="str">
            <v>44Rigger1IN</v>
          </cell>
        </row>
        <row r="1416">
          <cell r="B1416" t="str">
            <v>44Rigger1IN</v>
          </cell>
        </row>
        <row r="1417">
          <cell r="B1417" t="str">
            <v>44Rigger1BG</v>
          </cell>
        </row>
        <row r="1418">
          <cell r="B1418" t="str">
            <v>44Electrical Fitter1IN</v>
          </cell>
        </row>
        <row r="1419">
          <cell r="B1419" t="str">
            <v>44Mechanical Fitter1IN</v>
          </cell>
        </row>
        <row r="1420">
          <cell r="B1420" t="str">
            <v>44Rigger1IN</v>
          </cell>
        </row>
        <row r="1421">
          <cell r="B1421" t="str">
            <v>44Rigger1IN</v>
          </cell>
        </row>
        <row r="1422">
          <cell r="B1422" t="str">
            <v>44Rigger1BG</v>
          </cell>
        </row>
        <row r="1423">
          <cell r="B1423" t="str">
            <v>44Rigger1IN</v>
          </cell>
        </row>
        <row r="1424">
          <cell r="B1424" t="str">
            <v>44Rigger1IN</v>
          </cell>
        </row>
        <row r="1425">
          <cell r="B1425" t="str">
            <v>44Rigger1IN</v>
          </cell>
        </row>
        <row r="1426">
          <cell r="B1426" t="str">
            <v>44Rigger1BG</v>
          </cell>
        </row>
        <row r="1427">
          <cell r="B1427" t="str">
            <v>44Rigger1BG</v>
          </cell>
        </row>
        <row r="1428">
          <cell r="B1428" t="str">
            <v>44Sarang1IN</v>
          </cell>
        </row>
        <row r="1429">
          <cell r="B1429" t="str">
            <v>44Mechanical Fitter1BG</v>
          </cell>
        </row>
        <row r="1430">
          <cell r="B1430" t="str">
            <v>44Pipe Fitter1BG</v>
          </cell>
        </row>
        <row r="1431">
          <cell r="B1431" t="str">
            <v>44Rigger1IN</v>
          </cell>
        </row>
        <row r="1432">
          <cell r="B1432" t="str">
            <v>44Rigger1IN</v>
          </cell>
        </row>
        <row r="1433">
          <cell r="B1433" t="str">
            <v>44Rigger1IN</v>
          </cell>
        </row>
        <row r="1434">
          <cell r="B1434" t="str">
            <v>44Rigger1BG</v>
          </cell>
        </row>
        <row r="1435">
          <cell r="B1435" t="str">
            <v>44Rigger1IN</v>
          </cell>
        </row>
        <row r="1436">
          <cell r="B1436" t="str">
            <v>44Rigger1IN</v>
          </cell>
        </row>
        <row r="1437">
          <cell r="B1437" t="str">
            <v>44Rigger1IN</v>
          </cell>
        </row>
        <row r="1438">
          <cell r="B1438" t="str">
            <v>44Rigger1IN</v>
          </cell>
        </row>
        <row r="1439">
          <cell r="B1439" t="str">
            <v>44Sarang1IN</v>
          </cell>
        </row>
        <row r="1440">
          <cell r="B1440" t="str">
            <v>44Electrical Fitter1IN</v>
          </cell>
        </row>
        <row r="1441">
          <cell r="B1441" t="str">
            <v>44Rigger1IN</v>
          </cell>
        </row>
        <row r="1442">
          <cell r="B1442" t="str">
            <v>44Sarang1IN</v>
          </cell>
        </row>
        <row r="1443">
          <cell r="B1443" t="str">
            <v>44Rigger1IN</v>
          </cell>
        </row>
        <row r="1444">
          <cell r="B1444" t="str">
            <v>44Rigger1IN</v>
          </cell>
        </row>
        <row r="1445">
          <cell r="B1445" t="str">
            <v>44Rigger1IN</v>
          </cell>
        </row>
        <row r="1446">
          <cell r="B1446" t="str">
            <v>44Rigger1IN</v>
          </cell>
        </row>
        <row r="1447">
          <cell r="B1447" t="str">
            <v>44Rigger1IN</v>
          </cell>
        </row>
        <row r="1448">
          <cell r="B1448" t="str">
            <v>44Rigger1IN</v>
          </cell>
        </row>
        <row r="1449">
          <cell r="B1449" t="str">
            <v>44Sarang1IN</v>
          </cell>
        </row>
        <row r="1450">
          <cell r="B1450" t="str">
            <v>44Rigger 32IN</v>
          </cell>
        </row>
        <row r="1451">
          <cell r="B1451" t="str">
            <v>44Rigger1IN</v>
          </cell>
        </row>
        <row r="1452">
          <cell r="B1452" t="str">
            <v>44Rigger1IN</v>
          </cell>
        </row>
        <row r="1453">
          <cell r="B1453" t="str">
            <v>44Senior Camp Attendant1IN</v>
          </cell>
        </row>
        <row r="1454">
          <cell r="B1454" t="str">
            <v>44Sarang1IN</v>
          </cell>
        </row>
        <row r="1455">
          <cell r="B1455" t="str">
            <v>44Rigger1IN</v>
          </cell>
        </row>
        <row r="1456">
          <cell r="B1456" t="str">
            <v>44Erector1IN</v>
          </cell>
        </row>
        <row r="1457">
          <cell r="B1457" t="str">
            <v>44Rigger 32PH</v>
          </cell>
        </row>
        <row r="1458">
          <cell r="B1458" t="str">
            <v>44Rigger 32PH</v>
          </cell>
        </row>
        <row r="1459">
          <cell r="B1459" t="str">
            <v>44Rigger 32IN</v>
          </cell>
        </row>
        <row r="1460">
          <cell r="B1460" t="str">
            <v>44Rigger 32PH</v>
          </cell>
        </row>
        <row r="1461">
          <cell r="B1461" t="str">
            <v>44Rigger/Scaffolder1IN</v>
          </cell>
        </row>
        <row r="1462">
          <cell r="B1462" t="str">
            <v>44Rigger/Scaffolder1IN</v>
          </cell>
        </row>
        <row r="1463">
          <cell r="B1463" t="str">
            <v>44Rigger/Scaffolder1IN</v>
          </cell>
        </row>
        <row r="1464">
          <cell r="B1464" t="str">
            <v>44Rigger/Scaffolder1IN</v>
          </cell>
        </row>
        <row r="1465">
          <cell r="B1465" t="str">
            <v>44Rigger/Scaffolder1IN</v>
          </cell>
        </row>
        <row r="1466">
          <cell r="B1466" t="str">
            <v>44Rigger/Scaffolder1IN</v>
          </cell>
        </row>
        <row r="1467">
          <cell r="B1467" t="str">
            <v>44Rigger/Scaffolder1IN</v>
          </cell>
        </row>
        <row r="1468">
          <cell r="B1468" t="str">
            <v>44Rigger/Scaffolder1IN</v>
          </cell>
        </row>
        <row r="1469">
          <cell r="B1469" t="str">
            <v>44Rigger/Scaffolder1IN</v>
          </cell>
        </row>
        <row r="1470">
          <cell r="B1470" t="str">
            <v>44Rigger/Scaffolder1IN</v>
          </cell>
        </row>
        <row r="1471">
          <cell r="B1471" t="str">
            <v>44Rigger/Scaffolder1IN</v>
          </cell>
        </row>
        <row r="1472">
          <cell r="B1472" t="str">
            <v>44Light Vehicle Driver1IN</v>
          </cell>
        </row>
        <row r="1473">
          <cell r="B1473" t="str">
            <v>44Plate Welder1IN</v>
          </cell>
        </row>
        <row r="1474">
          <cell r="B1474" t="str">
            <v>44Rigger/Scaffolder1IN</v>
          </cell>
        </row>
        <row r="1475">
          <cell r="B1475" t="str">
            <v>44Safety Inspector1KSA</v>
          </cell>
        </row>
        <row r="1476">
          <cell r="B1476" t="str">
            <v>44Safety Inspector1IN</v>
          </cell>
        </row>
        <row r="1477">
          <cell r="B1477" t="str">
            <v>44Safety Inspector1IN</v>
          </cell>
        </row>
        <row r="1478">
          <cell r="B1478" t="str">
            <v>44Safety Inspector1IN</v>
          </cell>
        </row>
        <row r="1479">
          <cell r="B1479" t="str">
            <v>44Safety Officer1IN</v>
          </cell>
        </row>
        <row r="1480">
          <cell r="B1480" t="str">
            <v>44Safety Officer1IN</v>
          </cell>
        </row>
        <row r="1481">
          <cell r="B1481" t="str">
            <v>44Safety Officer1IN</v>
          </cell>
        </row>
        <row r="1482">
          <cell r="B1482" t="str">
            <v>44Safety Officer1IN</v>
          </cell>
        </row>
        <row r="1483">
          <cell r="B1483" t="str">
            <v>44Safety Officer1IN</v>
          </cell>
        </row>
        <row r="1484">
          <cell r="B1484" t="str">
            <v>44Safety Officer1IN</v>
          </cell>
        </row>
        <row r="1485">
          <cell r="B1485" t="str">
            <v>44Safety Officer1IN</v>
          </cell>
        </row>
        <row r="1486">
          <cell r="B1486" t="str">
            <v>44Safety Officer1IN</v>
          </cell>
        </row>
        <row r="1487">
          <cell r="B1487" t="str">
            <v>44Senior Safety Officer1IN</v>
          </cell>
        </row>
        <row r="1488">
          <cell r="B1488" t="str">
            <v>44Senior Safety Officer1IN</v>
          </cell>
        </row>
        <row r="1489">
          <cell r="B1489" t="str">
            <v>44Safety Technician1KSA</v>
          </cell>
        </row>
        <row r="1490">
          <cell r="B1490" t="str">
            <v>44Safety Technician1KSA</v>
          </cell>
        </row>
        <row r="1491">
          <cell r="B1491" t="str">
            <v>44Plate Welder1BG</v>
          </cell>
        </row>
        <row r="1492">
          <cell r="B1492" t="str">
            <v>44Sand Blaster1IN</v>
          </cell>
        </row>
        <row r="1493">
          <cell r="B1493" t="str">
            <v>44Sand Blaster1IN</v>
          </cell>
        </row>
        <row r="1494">
          <cell r="B1494" t="str">
            <v>44Sand Blaster1IN</v>
          </cell>
        </row>
        <row r="1495">
          <cell r="B1495" t="str">
            <v>44Sand Blaster1IN</v>
          </cell>
        </row>
        <row r="1496">
          <cell r="B1496" t="str">
            <v>44Sand Blaster1IN</v>
          </cell>
        </row>
        <row r="1497">
          <cell r="B1497" t="str">
            <v>44Sand Blaster / Painter1IN</v>
          </cell>
        </row>
        <row r="1498">
          <cell r="B1498" t="str">
            <v>44Sand Blaster / Painter1IN</v>
          </cell>
        </row>
        <row r="1499">
          <cell r="B1499" t="str">
            <v>44Sand Blaster / Painter1IN</v>
          </cell>
        </row>
        <row r="1500">
          <cell r="B1500" t="str">
            <v>44Sand Blaster / Painter1IN</v>
          </cell>
        </row>
        <row r="1501">
          <cell r="B1501" t="str">
            <v>44Sand Blaster / Painter1IN</v>
          </cell>
        </row>
        <row r="1502">
          <cell r="B1502" t="str">
            <v>44Sand Blaster / Painter1IN</v>
          </cell>
        </row>
        <row r="1503">
          <cell r="B1503" t="str">
            <v>44Sand Blaster / Painter1IN</v>
          </cell>
        </row>
        <row r="1504">
          <cell r="B1504" t="str">
            <v>44Sand Blaster / Painter1IN</v>
          </cell>
        </row>
        <row r="1505">
          <cell r="B1505" t="str">
            <v>44Sarang1IN</v>
          </cell>
        </row>
        <row r="1506">
          <cell r="B1506" t="str">
            <v>44Sarang1IN</v>
          </cell>
        </row>
        <row r="1507">
          <cell r="B1507" t="str">
            <v>44Sarang1IN</v>
          </cell>
        </row>
        <row r="1508">
          <cell r="B1508" t="str">
            <v>44Sarang1IN</v>
          </cell>
        </row>
        <row r="1509">
          <cell r="B1509" t="str">
            <v>44Sarang1IN</v>
          </cell>
        </row>
        <row r="1510">
          <cell r="B1510" t="str">
            <v>44Sarang1IN</v>
          </cell>
        </row>
        <row r="1511">
          <cell r="B1511" t="str">
            <v>44Sarang1IN</v>
          </cell>
        </row>
        <row r="1512">
          <cell r="B1512" t="str">
            <v>44Sarang1IN</v>
          </cell>
        </row>
        <row r="1513">
          <cell r="B1513" t="str">
            <v>44Sarang1IN</v>
          </cell>
        </row>
        <row r="1514">
          <cell r="B1514" t="str">
            <v>44Sarang1IN</v>
          </cell>
        </row>
        <row r="1515">
          <cell r="B1515" t="str">
            <v>44Sarang1IN</v>
          </cell>
        </row>
        <row r="1516">
          <cell r="B1516" t="str">
            <v>44Sarang1IN</v>
          </cell>
        </row>
        <row r="1517">
          <cell r="B1517" t="str">
            <v>44Sarang1IN</v>
          </cell>
        </row>
        <row r="1518">
          <cell r="B1518" t="str">
            <v>44Sarang1IN</v>
          </cell>
        </row>
        <row r="1519">
          <cell r="B1519" t="str">
            <v>44Sarang1IN</v>
          </cell>
        </row>
        <row r="1520">
          <cell r="B1520" t="str">
            <v>44Sarang1IN</v>
          </cell>
        </row>
        <row r="1521">
          <cell r="B1521" t="str">
            <v>44Sarang1IN</v>
          </cell>
        </row>
        <row r="1522">
          <cell r="B1522" t="str">
            <v>44Sarang1IN</v>
          </cell>
        </row>
        <row r="1523">
          <cell r="B1523" t="str">
            <v>44Sarang1IN</v>
          </cell>
        </row>
        <row r="1524">
          <cell r="B1524" t="str">
            <v>44Sarang1IN</v>
          </cell>
        </row>
        <row r="1525">
          <cell r="B1525" t="str">
            <v>44Sarang1IN</v>
          </cell>
        </row>
        <row r="1526">
          <cell r="B1526" t="str">
            <v>44Sarang1IN</v>
          </cell>
        </row>
        <row r="1527">
          <cell r="B1527" t="str">
            <v>44Sarang1IN</v>
          </cell>
        </row>
        <row r="1528">
          <cell r="B1528" t="str">
            <v>44Erector1IN</v>
          </cell>
        </row>
        <row r="1529">
          <cell r="B1529" t="str">
            <v>44Saudi Project Coordinator1KSA</v>
          </cell>
        </row>
        <row r="1530">
          <cell r="B1530" t="str">
            <v>44Saudi Project Coordinator1KSA</v>
          </cell>
        </row>
        <row r="1531">
          <cell r="B1531" t="str">
            <v>44Saudi Representative1KSA</v>
          </cell>
        </row>
        <row r="1532">
          <cell r="B1532" t="str">
            <v>44Saudi Representative1KSA</v>
          </cell>
        </row>
        <row r="1533">
          <cell r="B1533" t="str">
            <v>44Saudi Representative1KSA</v>
          </cell>
        </row>
        <row r="1534">
          <cell r="B1534" t="str">
            <v>44Scaffolder1IN</v>
          </cell>
        </row>
        <row r="1535">
          <cell r="B1535" t="str">
            <v>44Scaffolder1IN</v>
          </cell>
        </row>
        <row r="1536">
          <cell r="B1536" t="str">
            <v>44Scaffolder1IN</v>
          </cell>
        </row>
        <row r="1537">
          <cell r="B1537" t="str">
            <v>44Scaffolder1IN</v>
          </cell>
        </row>
        <row r="1538">
          <cell r="B1538" t="str">
            <v>44Scaffolder1IN</v>
          </cell>
        </row>
        <row r="1539">
          <cell r="B1539" t="str">
            <v>44Scaffolder1IN</v>
          </cell>
        </row>
        <row r="1540">
          <cell r="B1540" t="str">
            <v>44Scaffolder1IN</v>
          </cell>
        </row>
        <row r="1541">
          <cell r="B1541" t="str">
            <v>44Scaffolder1IN</v>
          </cell>
        </row>
        <row r="1542">
          <cell r="B1542" t="str">
            <v>44Scaffolder1IN</v>
          </cell>
        </row>
        <row r="1543">
          <cell r="B1543" t="str">
            <v>44Scaffolder1IN</v>
          </cell>
        </row>
        <row r="1544">
          <cell r="B1544" t="str">
            <v>44Scaffolder1IN</v>
          </cell>
        </row>
        <row r="1545">
          <cell r="B1545" t="str">
            <v>44Scaffolder1IN</v>
          </cell>
        </row>
        <row r="1546">
          <cell r="B1546" t="str">
            <v>44Scaffolder1IN</v>
          </cell>
        </row>
        <row r="1547">
          <cell r="B1547" t="str">
            <v>44Scaffolder1IN</v>
          </cell>
        </row>
        <row r="1548">
          <cell r="B1548" t="str">
            <v>44Scaffolder1IN</v>
          </cell>
        </row>
        <row r="1549">
          <cell r="B1549" t="str">
            <v>44Scaffolder1IN</v>
          </cell>
        </row>
        <row r="1550">
          <cell r="B1550" t="str">
            <v>44Scaffolder1IN</v>
          </cell>
        </row>
        <row r="1551">
          <cell r="B1551" t="str">
            <v>44Scaffolder1IN</v>
          </cell>
        </row>
        <row r="1552">
          <cell r="B1552" t="str">
            <v>44Scaffolder1IN</v>
          </cell>
        </row>
        <row r="1553">
          <cell r="B1553" t="str">
            <v>44Scaffolder1IN</v>
          </cell>
        </row>
        <row r="1554">
          <cell r="B1554" t="str">
            <v>44Scaffolder1IN</v>
          </cell>
        </row>
        <row r="1555">
          <cell r="B1555" t="str">
            <v>44Scaffolder1IN</v>
          </cell>
        </row>
        <row r="1556">
          <cell r="B1556" t="str">
            <v>44Scaffolder1IN</v>
          </cell>
        </row>
        <row r="1557">
          <cell r="B1557" t="str">
            <v>44Scaffolder1IN</v>
          </cell>
        </row>
        <row r="1558">
          <cell r="B1558" t="str">
            <v>44Scaffolder1IN</v>
          </cell>
        </row>
        <row r="1559">
          <cell r="B1559" t="str">
            <v>44Scaffolder1IN</v>
          </cell>
        </row>
        <row r="1560">
          <cell r="B1560" t="str">
            <v>44Scaffolder1IN</v>
          </cell>
        </row>
        <row r="1561">
          <cell r="B1561" t="str">
            <v>44Scaffolder1IN</v>
          </cell>
        </row>
        <row r="1562">
          <cell r="B1562" t="str">
            <v>44Scaffolder1IN</v>
          </cell>
        </row>
        <row r="1563">
          <cell r="B1563" t="str">
            <v>44Scaffolder1BG</v>
          </cell>
        </row>
        <row r="1564">
          <cell r="B1564" t="str">
            <v>44Scaffolder1IN</v>
          </cell>
        </row>
        <row r="1565">
          <cell r="B1565" t="str">
            <v>44Scaffolder1IN</v>
          </cell>
        </row>
        <row r="1566">
          <cell r="B1566" t="str">
            <v>44Scaffolder1IN</v>
          </cell>
        </row>
        <row r="1567">
          <cell r="B1567" t="str">
            <v>44Scaffolder1IN</v>
          </cell>
        </row>
        <row r="1568">
          <cell r="B1568" t="str">
            <v>44Scaffolder1IN</v>
          </cell>
        </row>
        <row r="1569">
          <cell r="B1569" t="str">
            <v>44Light Vehicle Driver1IN</v>
          </cell>
        </row>
        <row r="1570">
          <cell r="B1570" t="str">
            <v>44Security Guard1KSA</v>
          </cell>
        </row>
        <row r="1571">
          <cell r="B1571" t="str">
            <v>44Assistant Manager (Accounts)1IN</v>
          </cell>
        </row>
        <row r="1572">
          <cell r="B1572" t="str">
            <v>44Senior Administrative Assistant1IN</v>
          </cell>
        </row>
        <row r="1573">
          <cell r="B1573" t="str">
            <v>44Senior Administrative Officer1IN</v>
          </cell>
        </row>
        <row r="1574">
          <cell r="B1574" t="str">
            <v>44Senior Administrative Officer1IN</v>
          </cell>
        </row>
        <row r="1575">
          <cell r="B1575" t="str">
            <v>44Senior Administrative Officer1IN</v>
          </cell>
        </row>
        <row r="1576">
          <cell r="B1576" t="str">
            <v>44Senior Administrative Officer1IN</v>
          </cell>
        </row>
        <row r="1577">
          <cell r="B1577" t="str">
            <v>44Senior Engineer (Civil)1IN</v>
          </cell>
        </row>
        <row r="1578">
          <cell r="B1578" t="str">
            <v>44Assistant Manager (Project Coordination)1IN</v>
          </cell>
        </row>
        <row r="1579">
          <cell r="B1579" t="str">
            <v>44Assistant Manager (Contracts)1IN</v>
          </cell>
        </row>
        <row r="1580">
          <cell r="B1580" t="str">
            <v>44Deputy Manager (Contracts)1IN</v>
          </cell>
        </row>
        <row r="1581">
          <cell r="B1581" t="str">
            <v>44Senior Engineer (Electrical)1IN</v>
          </cell>
        </row>
        <row r="1582">
          <cell r="B1582" t="str">
            <v>44Senior Engineer (Instrumentation)1IN</v>
          </cell>
        </row>
        <row r="1583">
          <cell r="B1583" t="str">
            <v>44Senior Engineer (Mechanical)1IN</v>
          </cell>
        </row>
        <row r="1584">
          <cell r="B1584" t="str">
            <v>44Supervisor (Mill Wright)1IN</v>
          </cell>
        </row>
        <row r="1585">
          <cell r="B1585" t="str">
            <v>44Supervisor (Mill Wright)1IN</v>
          </cell>
        </row>
        <row r="1586">
          <cell r="B1586" t="str">
            <v>44Senior Foreman (Welding)1IN</v>
          </cell>
        </row>
        <row r="1587">
          <cell r="B1587" t="str">
            <v>44Senior Material Chaser1BG</v>
          </cell>
        </row>
        <row r="1588">
          <cell r="B1588" t="str">
            <v>44Senior Project Manager1IN</v>
          </cell>
        </row>
        <row r="1589">
          <cell r="B1589" t="str">
            <v>44Senior Project Manager1IN</v>
          </cell>
        </row>
        <row r="1590">
          <cell r="B1590" t="str">
            <v>44Safety Officer1IN</v>
          </cell>
        </row>
        <row r="1591">
          <cell r="B1591" t="str">
            <v>44Senior Store Keeper1IN</v>
          </cell>
        </row>
        <row r="1592">
          <cell r="B1592" t="str">
            <v>44Senior Stores Officer1IN</v>
          </cell>
        </row>
        <row r="1593">
          <cell r="B1593" t="str">
            <v>44Assistant Manager (Electrical)1IN</v>
          </cell>
        </row>
        <row r="1594">
          <cell r="B1594" t="str">
            <v>44Senior Superintendent (Mechanical)1IN</v>
          </cell>
        </row>
        <row r="1595">
          <cell r="B1595" t="str">
            <v>44Senior Superintendent (Mechanical)1IN</v>
          </cell>
        </row>
        <row r="1596">
          <cell r="B1596" t="str">
            <v>44Senior Superintendent (Mechanical)1IN</v>
          </cell>
        </row>
        <row r="1597">
          <cell r="B1597" t="str">
            <v>44Senior Superintendent (Mechanical)1IN</v>
          </cell>
        </row>
        <row r="1598">
          <cell r="B1598" t="str">
            <v>44Senior Superintendent (Mill Wright)1IN</v>
          </cell>
        </row>
        <row r="1599">
          <cell r="B1599" t="str">
            <v>44Senior Superintendent (Planning)1IN</v>
          </cell>
        </row>
        <row r="1600">
          <cell r="B1600" t="str">
            <v>44Senior Supervisor (Auto)1IN</v>
          </cell>
        </row>
        <row r="1601">
          <cell r="B1601" t="str">
            <v>44Senior Supervisor (Electrical)1IN</v>
          </cell>
        </row>
        <row r="1602">
          <cell r="B1602" t="str">
            <v>44Senior Supervisor (Electrical)1IN</v>
          </cell>
        </row>
        <row r="1603">
          <cell r="B1603" t="str">
            <v>44Senior Supervisor (Mechanical)1IN</v>
          </cell>
        </row>
        <row r="1604">
          <cell r="B1604" t="str">
            <v>44Superintendent (Mechanical)1IN</v>
          </cell>
        </row>
        <row r="1605">
          <cell r="B1605" t="str">
            <v>44Superintendent (Mill Wright)1IN</v>
          </cell>
        </row>
        <row r="1606">
          <cell r="B1606" t="str">
            <v>44Junior Engineer (Piping)1IN</v>
          </cell>
        </row>
        <row r="1607">
          <cell r="B1607" t="str">
            <v>44Senior Supervisor (Piping)1IN</v>
          </cell>
        </row>
        <row r="1608">
          <cell r="B1608" t="str">
            <v>44Senior Supervisor (Welding)1IN</v>
          </cell>
        </row>
        <row r="1609">
          <cell r="B1609" t="str">
            <v>44Senior Surveyor1IN</v>
          </cell>
        </row>
        <row r="1610">
          <cell r="B1610" t="str">
            <v>44Sheet Metal Fabricator1IN</v>
          </cell>
        </row>
        <row r="1611">
          <cell r="B1611" t="str">
            <v>44Sheet Metal Fitter1IN</v>
          </cell>
        </row>
        <row r="1612">
          <cell r="B1612" t="str">
            <v>44Site Assistant1IN</v>
          </cell>
        </row>
        <row r="1613">
          <cell r="B1613" t="str">
            <v>44Spray Painter1IN</v>
          </cell>
        </row>
        <row r="1614">
          <cell r="B1614" t="str">
            <v>44Spray Painter1IN</v>
          </cell>
        </row>
        <row r="1615">
          <cell r="B1615" t="str">
            <v>44Store Assistant1IN</v>
          </cell>
        </row>
        <row r="1616">
          <cell r="B1616" t="str">
            <v>44Store Assistant1IN</v>
          </cell>
        </row>
        <row r="1617">
          <cell r="B1617" t="str">
            <v>44Store Assistant1IN</v>
          </cell>
        </row>
        <row r="1618">
          <cell r="B1618" t="str">
            <v>44Store Assistant1IN</v>
          </cell>
        </row>
        <row r="1619">
          <cell r="B1619" t="str">
            <v>44Store Assistant1IN</v>
          </cell>
        </row>
        <row r="1620">
          <cell r="B1620" t="str">
            <v>44Store Assistant1IN</v>
          </cell>
        </row>
        <row r="1621">
          <cell r="B1621" t="str">
            <v>44Store Assistant1IN</v>
          </cell>
        </row>
        <row r="1622">
          <cell r="B1622" t="str">
            <v>44Assistant Store Keeper1IN</v>
          </cell>
        </row>
        <row r="1623">
          <cell r="B1623" t="str">
            <v>44Store Assistant1IN</v>
          </cell>
        </row>
        <row r="1624">
          <cell r="B1624" t="str">
            <v>44Store Keeper1IN</v>
          </cell>
        </row>
        <row r="1625">
          <cell r="B1625" t="str">
            <v>44Store Keeper1IN</v>
          </cell>
        </row>
        <row r="1626">
          <cell r="B1626" t="str">
            <v>44Store Keeper1IN</v>
          </cell>
        </row>
        <row r="1627">
          <cell r="B1627" t="str">
            <v>44Store Keeper1IN</v>
          </cell>
        </row>
        <row r="1628">
          <cell r="B1628" t="str">
            <v>44Store Keeper1IN</v>
          </cell>
        </row>
        <row r="1629">
          <cell r="B1629" t="str">
            <v>44Administrative Assistant1KSA</v>
          </cell>
        </row>
        <row r="1630">
          <cell r="B1630" t="str">
            <v>44Store Keeper1KSA</v>
          </cell>
        </row>
        <row r="1631">
          <cell r="B1631" t="str">
            <v>44Store Keeper1KSA</v>
          </cell>
        </row>
        <row r="1632">
          <cell r="B1632" t="str">
            <v>44Store Keeper1KSA</v>
          </cell>
        </row>
        <row r="1633">
          <cell r="B1633" t="str">
            <v>44Store Keeper1IN</v>
          </cell>
        </row>
        <row r="1634">
          <cell r="B1634" t="str">
            <v>44Senior Store Keeper1IN</v>
          </cell>
        </row>
        <row r="1635">
          <cell r="B1635" t="str">
            <v>44Stores Officer1IN</v>
          </cell>
        </row>
        <row r="1636">
          <cell r="B1636" t="str">
            <v>44Structural Fabricator1IN</v>
          </cell>
        </row>
        <row r="1637">
          <cell r="B1637" t="str">
            <v>44Structural Fabricator1IN</v>
          </cell>
        </row>
        <row r="1638">
          <cell r="B1638" t="str">
            <v>44Structural Fabricator1IN</v>
          </cell>
        </row>
        <row r="1639">
          <cell r="B1639" t="str">
            <v>44Structural Fabricator1IN</v>
          </cell>
        </row>
        <row r="1640">
          <cell r="B1640" t="str">
            <v>44Structural Fabricator1IN</v>
          </cell>
        </row>
        <row r="1641">
          <cell r="B1641" t="str">
            <v>44Structural Fabricator1IN</v>
          </cell>
        </row>
        <row r="1642">
          <cell r="B1642" t="str">
            <v>44Structural Fabricator1IN</v>
          </cell>
        </row>
        <row r="1643">
          <cell r="B1643" t="str">
            <v>44Structural Fabricator1IN</v>
          </cell>
        </row>
        <row r="1644">
          <cell r="B1644" t="str">
            <v>44Structural Fabricator1IN</v>
          </cell>
        </row>
        <row r="1645">
          <cell r="B1645" t="str">
            <v>44Structural Fabricator1IN</v>
          </cell>
        </row>
        <row r="1646">
          <cell r="B1646" t="str">
            <v>44Structural Fabricator1IN</v>
          </cell>
        </row>
        <row r="1647">
          <cell r="B1647" t="str">
            <v>44Structural Fitter1IN</v>
          </cell>
        </row>
        <row r="1648">
          <cell r="B1648" t="str">
            <v>44Structural Fitter1IN</v>
          </cell>
        </row>
        <row r="1649">
          <cell r="B1649" t="str">
            <v>44Structural Fitter1IN</v>
          </cell>
        </row>
        <row r="1650">
          <cell r="B1650" t="str">
            <v>44Structural Fitter1IN</v>
          </cell>
        </row>
        <row r="1651">
          <cell r="B1651" t="str">
            <v>44Structural Fitter1IN</v>
          </cell>
        </row>
        <row r="1652">
          <cell r="B1652" t="str">
            <v>44Structural Fitter1IN</v>
          </cell>
        </row>
        <row r="1653">
          <cell r="B1653" t="str">
            <v>44Structural Fitter1IN</v>
          </cell>
        </row>
        <row r="1654">
          <cell r="B1654" t="str">
            <v>44Structural Fitter1IN</v>
          </cell>
        </row>
        <row r="1655">
          <cell r="B1655" t="str">
            <v>44Structural Fitter1IN</v>
          </cell>
        </row>
        <row r="1656">
          <cell r="B1656" t="str">
            <v>44Structural Fitter1IN</v>
          </cell>
        </row>
        <row r="1657">
          <cell r="B1657" t="str">
            <v>44Structural Fitter1IN</v>
          </cell>
        </row>
        <row r="1658">
          <cell r="B1658" t="str">
            <v>44Structural Fitter1IN</v>
          </cell>
        </row>
        <row r="1659">
          <cell r="B1659" t="str">
            <v>44Structural Fitter1IN</v>
          </cell>
        </row>
        <row r="1660">
          <cell r="B1660" t="str">
            <v>44Structural Fitter1IN</v>
          </cell>
        </row>
        <row r="1661">
          <cell r="B1661" t="str">
            <v>44Structural Fitter1BG</v>
          </cell>
        </row>
        <row r="1662">
          <cell r="B1662" t="str">
            <v>44Structural Fitter1IN</v>
          </cell>
        </row>
        <row r="1663">
          <cell r="B1663" t="str">
            <v>44Structural Fitter1IN</v>
          </cell>
        </row>
        <row r="1664">
          <cell r="B1664" t="str">
            <v>44Structural Fitter1IN</v>
          </cell>
        </row>
        <row r="1665">
          <cell r="B1665" t="str">
            <v>44Structural Fitter1IN</v>
          </cell>
        </row>
        <row r="1666">
          <cell r="B1666" t="str">
            <v>44Structural Fitter1IN</v>
          </cell>
        </row>
        <row r="1667">
          <cell r="B1667" t="str">
            <v>44Structural Fitter1IN</v>
          </cell>
        </row>
        <row r="1668">
          <cell r="B1668" t="str">
            <v>44Structural Fitter1IN</v>
          </cell>
        </row>
        <row r="1669">
          <cell r="B1669" t="str">
            <v>44Structural Fitter1IN</v>
          </cell>
        </row>
        <row r="1670">
          <cell r="B1670" t="str">
            <v>44Structural Fitter1IN</v>
          </cell>
        </row>
        <row r="1671">
          <cell r="B1671" t="str">
            <v>44Structural Fitter1IN</v>
          </cell>
        </row>
        <row r="1672">
          <cell r="B1672" t="str">
            <v>44Structural Fitter1IN</v>
          </cell>
        </row>
        <row r="1673">
          <cell r="B1673" t="str">
            <v>44Structural Fitter1IN</v>
          </cell>
        </row>
        <row r="1674">
          <cell r="B1674" t="str">
            <v>44Structural Fitter1IN</v>
          </cell>
        </row>
        <row r="1675">
          <cell r="B1675" t="str">
            <v>44Structural Fitter1IN</v>
          </cell>
        </row>
        <row r="1676">
          <cell r="B1676" t="str">
            <v>44Structural Fitter1IN</v>
          </cell>
        </row>
        <row r="1677">
          <cell r="B1677" t="str">
            <v>44Structural Fitter1IN</v>
          </cell>
        </row>
        <row r="1678">
          <cell r="B1678" t="str">
            <v>44Structural Fitter1IN</v>
          </cell>
        </row>
        <row r="1679">
          <cell r="B1679" t="str">
            <v>44Structural Fitter1IN</v>
          </cell>
        </row>
        <row r="1680">
          <cell r="B1680" t="str">
            <v>44Structural Fitter1IN</v>
          </cell>
        </row>
        <row r="1681">
          <cell r="B1681" t="str">
            <v>44Structural Fitter1IN</v>
          </cell>
        </row>
        <row r="1682">
          <cell r="B1682" t="str">
            <v>44Structural Fitter1IN</v>
          </cell>
        </row>
        <row r="1683">
          <cell r="B1683" t="str">
            <v>44Structural Fitter1IN</v>
          </cell>
        </row>
        <row r="1684">
          <cell r="B1684" t="str">
            <v>44Structural Fitter1IN</v>
          </cell>
        </row>
        <row r="1685">
          <cell r="B1685" t="str">
            <v>44Structural Fitter1IN</v>
          </cell>
        </row>
        <row r="1686">
          <cell r="B1686" t="str">
            <v>44Structural Fitter1IN</v>
          </cell>
        </row>
        <row r="1687">
          <cell r="B1687" t="str">
            <v>44Structural Fitter1IN</v>
          </cell>
        </row>
        <row r="1688">
          <cell r="B1688" t="str">
            <v>44Foreman (Mechanical)1IN</v>
          </cell>
        </row>
        <row r="1689">
          <cell r="B1689" t="str">
            <v>44Structural Welder1IN</v>
          </cell>
        </row>
        <row r="1690">
          <cell r="B1690" t="str">
            <v>44Structural Welder1IN</v>
          </cell>
        </row>
        <row r="1691">
          <cell r="B1691" t="str">
            <v>44Structural Welder1BG</v>
          </cell>
        </row>
        <row r="1692">
          <cell r="B1692" t="str">
            <v>44Structural Welder1BG</v>
          </cell>
        </row>
        <row r="1693">
          <cell r="B1693" t="str">
            <v>44Tig Welder1IN</v>
          </cell>
        </row>
        <row r="1694">
          <cell r="B1694" t="str">
            <v>44Structural Welder1KSA</v>
          </cell>
        </row>
        <row r="1695">
          <cell r="B1695" t="str">
            <v>44Structural Welder1KSA</v>
          </cell>
        </row>
        <row r="1696">
          <cell r="B1696" t="str">
            <v>44Superintendent (Mechanical)1IN</v>
          </cell>
        </row>
        <row r="1697">
          <cell r="B1697" t="str">
            <v>44Superintendent (Piping)1IN</v>
          </cell>
        </row>
        <row r="1698">
          <cell r="B1698" t="str">
            <v>44Superintendent (QA/QC)1IN</v>
          </cell>
        </row>
        <row r="1699">
          <cell r="B1699" t="str">
            <v>44Superintendent (Structural Erection)1IN</v>
          </cell>
        </row>
        <row r="1700">
          <cell r="B1700" t="str">
            <v>44Senior Superintendent (Welding)1IN</v>
          </cell>
        </row>
        <row r="1701">
          <cell r="B1701" t="str">
            <v>44Supervisor1KSA</v>
          </cell>
        </row>
        <row r="1702">
          <cell r="B1702" t="str">
            <v>44Supervisor1KSA</v>
          </cell>
        </row>
        <row r="1703">
          <cell r="B1703" t="str">
            <v>44Supervisor1KSA</v>
          </cell>
        </row>
        <row r="1704">
          <cell r="B1704" t="str">
            <v>44Supervisor1KSA</v>
          </cell>
        </row>
        <row r="1705">
          <cell r="B1705" t="str">
            <v>44Supervisor (Auto)1IN</v>
          </cell>
        </row>
        <row r="1706">
          <cell r="B1706" t="str">
            <v>44Senior Supervisor (Auto)1IN</v>
          </cell>
        </row>
        <row r="1707">
          <cell r="B1707" t="str">
            <v>44Supervisor (Electrical)1IN</v>
          </cell>
        </row>
        <row r="1708">
          <cell r="B1708" t="str">
            <v>44Supervisor (Instrumentation)1IN</v>
          </cell>
        </row>
        <row r="1709">
          <cell r="B1709" t="str">
            <v>44Senior Supervisor (Instrumentation)1IN</v>
          </cell>
        </row>
        <row r="1710">
          <cell r="B1710" t="str">
            <v>44Senior Supervisor (Instrumentation)1IN</v>
          </cell>
        </row>
        <row r="1711">
          <cell r="B1711" t="str">
            <v>44Senior Supervisor (Mill Wright)1IN</v>
          </cell>
        </row>
        <row r="1712">
          <cell r="B1712" t="str">
            <v>44Supervisor (Piping)1IN</v>
          </cell>
        </row>
        <row r="1713">
          <cell r="B1713" t="str">
            <v>44Supervisor (Piping)1IN</v>
          </cell>
        </row>
        <row r="1714">
          <cell r="B1714" t="str">
            <v>44Supervisor (Piping)1IN</v>
          </cell>
        </row>
        <row r="1715">
          <cell r="B1715" t="str">
            <v>44Supervisor (QA/QC)1IN</v>
          </cell>
        </row>
        <row r="1716">
          <cell r="B1716" t="str">
            <v>44Supervisor (QA/QC)1IN</v>
          </cell>
        </row>
        <row r="1717">
          <cell r="B1717" t="str">
            <v>44Supervisor (QA/QC)1IN</v>
          </cell>
        </row>
        <row r="1718">
          <cell r="B1718" t="str">
            <v>44Supervisor (Safety)1KSA</v>
          </cell>
        </row>
        <row r="1719">
          <cell r="B1719" t="str">
            <v>44Supervisor (Safety)1KSA</v>
          </cell>
        </row>
        <row r="1720">
          <cell r="B1720" t="str">
            <v>44Supervisor (Welding)1IN</v>
          </cell>
        </row>
        <row r="1721">
          <cell r="B1721" t="str">
            <v>44Surveyor1IN</v>
          </cell>
        </row>
        <row r="1722">
          <cell r="B1722" t="str">
            <v>44Sweeper1SL</v>
          </cell>
        </row>
        <row r="1723">
          <cell r="B1723" t="str">
            <v>44Sweeper1BG</v>
          </cell>
        </row>
        <row r="1724">
          <cell r="B1724" t="str">
            <v>44Sweeper1SL</v>
          </cell>
        </row>
        <row r="1725">
          <cell r="B1725" t="str">
            <v>44Tig Welder1BG</v>
          </cell>
        </row>
        <row r="1726">
          <cell r="B1726" t="str">
            <v>44Tig Welder1BG</v>
          </cell>
        </row>
        <row r="1727">
          <cell r="B1727" t="str">
            <v>44Tig Welder1IN</v>
          </cell>
        </row>
        <row r="1728">
          <cell r="B1728" t="str">
            <v>44Tig Welder1BG</v>
          </cell>
        </row>
        <row r="1729">
          <cell r="B1729" t="str">
            <v>44Tig Welder1IN</v>
          </cell>
        </row>
        <row r="1730">
          <cell r="B1730" t="str">
            <v>44Tig Welder1IN</v>
          </cell>
        </row>
        <row r="1731">
          <cell r="B1731" t="str">
            <v>44Tig Welder1IN</v>
          </cell>
        </row>
        <row r="1732">
          <cell r="B1732" t="str">
            <v>44Tig Welder1IN</v>
          </cell>
        </row>
        <row r="1733">
          <cell r="B1733" t="str">
            <v>44Tig Welder1IN</v>
          </cell>
        </row>
        <row r="1734">
          <cell r="B1734" t="str">
            <v>44Tig Welder1IN</v>
          </cell>
        </row>
        <row r="1735">
          <cell r="B1735" t="str">
            <v>44Tig Welder1IN</v>
          </cell>
        </row>
        <row r="1736">
          <cell r="B1736" t="str">
            <v>44Tig Welder1IN</v>
          </cell>
        </row>
        <row r="1737">
          <cell r="B1737" t="str">
            <v>44Tig Welder1IN</v>
          </cell>
        </row>
        <row r="1738">
          <cell r="B1738" t="str">
            <v>44Tig Welder1IN</v>
          </cell>
        </row>
        <row r="1739">
          <cell r="B1739" t="str">
            <v>44Tig Welder1IN</v>
          </cell>
        </row>
        <row r="1740">
          <cell r="B1740" t="str">
            <v>44Tig Welder1BG</v>
          </cell>
        </row>
        <row r="1741">
          <cell r="B1741" t="str">
            <v>44Tig Welder1IN</v>
          </cell>
        </row>
        <row r="1742">
          <cell r="B1742" t="str">
            <v>44Tig Welder1IN</v>
          </cell>
        </row>
        <row r="1743">
          <cell r="B1743" t="str">
            <v>44Tig Welder1IN</v>
          </cell>
        </row>
        <row r="1744">
          <cell r="B1744" t="str">
            <v>44Tig Welder1IN</v>
          </cell>
        </row>
        <row r="1745">
          <cell r="B1745" t="str">
            <v>44Tig Welder1IN</v>
          </cell>
        </row>
        <row r="1746">
          <cell r="B1746" t="str">
            <v>44Tig Welder1BG</v>
          </cell>
        </row>
        <row r="1747">
          <cell r="B1747" t="str">
            <v>44Tig Welder1BG</v>
          </cell>
        </row>
        <row r="1748">
          <cell r="B1748" t="str">
            <v>44Tig Welder1IN</v>
          </cell>
        </row>
        <row r="1749">
          <cell r="B1749" t="str">
            <v>44Tig Welder1IN</v>
          </cell>
        </row>
        <row r="1750">
          <cell r="B1750" t="str">
            <v>44Tig Welder1IN</v>
          </cell>
        </row>
        <row r="1751">
          <cell r="B1751" t="str">
            <v>44Tig Welder1IN</v>
          </cell>
        </row>
        <row r="1752">
          <cell r="B1752" t="str">
            <v>44Tig Welder1IN</v>
          </cell>
        </row>
        <row r="1753">
          <cell r="B1753" t="str">
            <v>44Tig Welder1IN</v>
          </cell>
        </row>
        <row r="1754">
          <cell r="B1754" t="str">
            <v>44Tig Welder1IN</v>
          </cell>
        </row>
        <row r="1755">
          <cell r="B1755" t="str">
            <v>44Tig Welder1IN</v>
          </cell>
        </row>
        <row r="1756">
          <cell r="B1756" t="str">
            <v>44Tig Welder1IN</v>
          </cell>
        </row>
        <row r="1757">
          <cell r="B1757" t="str">
            <v>44Tig Welder1IN</v>
          </cell>
        </row>
        <row r="1758">
          <cell r="B1758" t="str">
            <v>44Tig Welder1IN</v>
          </cell>
        </row>
        <row r="1759">
          <cell r="B1759" t="str">
            <v>44Tig Welder1IN</v>
          </cell>
        </row>
        <row r="1760">
          <cell r="B1760" t="str">
            <v>44Tig Welder1IN</v>
          </cell>
        </row>
        <row r="1761">
          <cell r="B1761" t="str">
            <v>44Tig Welder1IN</v>
          </cell>
        </row>
        <row r="1762">
          <cell r="B1762" t="str">
            <v>44Tig Welder1IN</v>
          </cell>
        </row>
        <row r="1763">
          <cell r="B1763" t="str">
            <v>44Tig Welder1IN</v>
          </cell>
        </row>
        <row r="1764">
          <cell r="B1764" t="str">
            <v>44Tig Welder1IN</v>
          </cell>
        </row>
        <row r="1765">
          <cell r="B1765" t="str">
            <v>44Tig Welder1IN</v>
          </cell>
        </row>
        <row r="1766">
          <cell r="B1766" t="str">
            <v>44Tig Welder1IN</v>
          </cell>
        </row>
        <row r="1767">
          <cell r="B1767" t="str">
            <v>44Tig Welder1IN</v>
          </cell>
        </row>
        <row r="1768">
          <cell r="B1768" t="str">
            <v>44Tig Welder1IN</v>
          </cell>
        </row>
        <row r="1769">
          <cell r="B1769" t="str">
            <v>44Tig Welder1IN</v>
          </cell>
        </row>
        <row r="1770">
          <cell r="B1770" t="str">
            <v>44Tig Welder1IN</v>
          </cell>
        </row>
        <row r="1771">
          <cell r="B1771" t="str">
            <v>44Tig Welder1IN</v>
          </cell>
        </row>
        <row r="1772">
          <cell r="B1772" t="str">
            <v>44Tig Welder1IN</v>
          </cell>
        </row>
        <row r="1773">
          <cell r="B1773" t="str">
            <v>44Tig Welder1IN</v>
          </cell>
        </row>
        <row r="1774">
          <cell r="B1774" t="str">
            <v>44Tig Welder1IN</v>
          </cell>
        </row>
        <row r="1775">
          <cell r="B1775" t="str">
            <v>44Tig Welder1IN</v>
          </cell>
        </row>
        <row r="1776">
          <cell r="B1776" t="str">
            <v>44Tig Welder1IN</v>
          </cell>
        </row>
        <row r="1777">
          <cell r="B1777" t="str">
            <v>44Tig Welder1IN</v>
          </cell>
        </row>
        <row r="1778">
          <cell r="B1778" t="str">
            <v>44Tig Welder1IN</v>
          </cell>
        </row>
        <row r="1779">
          <cell r="B1779" t="str">
            <v>44Tig Welder1IN</v>
          </cell>
        </row>
        <row r="1780">
          <cell r="B1780" t="str">
            <v>44Tig Welder1IN</v>
          </cell>
        </row>
        <row r="1781">
          <cell r="B1781" t="str">
            <v>44Tig Welder1IN</v>
          </cell>
        </row>
        <row r="1782">
          <cell r="B1782" t="str">
            <v>44Tig Welder1IN</v>
          </cell>
        </row>
        <row r="1783">
          <cell r="B1783" t="str">
            <v>44Tig Welder1IN</v>
          </cell>
        </row>
        <row r="1784">
          <cell r="B1784" t="str">
            <v>44Welder Assistant1KSA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9"/>
  <sheetViews>
    <sheetView showGridLines="0" tabSelected="1" zoomScale="115" zoomScaleNormal="115" workbookViewId="0">
      <pane ySplit="3" topLeftCell="A12" activePane="bottomLeft" state="frozen"/>
      <selection pane="bottomLeft" activeCell="O41" sqref="O41"/>
    </sheetView>
  </sheetViews>
  <sheetFormatPr defaultColWidth="9.140625" defaultRowHeight="18" x14ac:dyDescent="0.45"/>
  <cols>
    <col min="1" max="1" width="5.5703125" style="24" bestFit="1" customWidth="1"/>
    <col min="2" max="2" width="25" style="24" bestFit="1" customWidth="1"/>
    <col min="3" max="3" width="16.28515625" style="2" bestFit="1" customWidth="1"/>
    <col min="4" max="4" width="15.42578125" style="2" customWidth="1"/>
    <col min="5" max="5" width="13.42578125" style="2" customWidth="1"/>
    <col min="6" max="6" width="7.28515625" style="2" bestFit="1" customWidth="1"/>
    <col min="7" max="7" width="9.140625" style="2" bestFit="1" customWidth="1"/>
    <col min="8" max="8" width="5.85546875" style="2" bestFit="1" customWidth="1"/>
    <col min="9" max="9" width="7.42578125" style="2" bestFit="1" customWidth="1"/>
    <col min="10" max="10" width="3.28515625" style="2" bestFit="1" customWidth="1"/>
    <col min="11" max="11" width="7.140625" style="2" bestFit="1" customWidth="1"/>
    <col min="12" max="12" width="7.7109375" style="2" bestFit="1" customWidth="1"/>
    <col min="13" max="13" width="7.7109375" style="2" customWidth="1"/>
    <col min="14" max="14" width="8.5703125" style="2" bestFit="1" customWidth="1"/>
    <col min="15" max="15" width="8.28515625" style="2" customWidth="1"/>
    <col min="16" max="16" width="8.42578125" style="2" bestFit="1" customWidth="1"/>
    <col min="17" max="17" width="8.28515625" style="2" bestFit="1" customWidth="1"/>
    <col min="18" max="18" width="8" style="2" bestFit="1" customWidth="1"/>
    <col min="19" max="19" width="10.42578125" style="2" bestFit="1" customWidth="1"/>
    <col min="20" max="20" width="11.85546875" style="2" bestFit="1" customWidth="1"/>
    <col min="21" max="21" width="9.28515625" style="2" bestFit="1" customWidth="1"/>
    <col min="22" max="22" width="6.7109375" style="2" bestFit="1" customWidth="1"/>
    <col min="23" max="23" width="3.85546875" style="2" bestFit="1" customWidth="1"/>
    <col min="24" max="24" width="5.42578125" style="2" bestFit="1" customWidth="1"/>
    <col min="25" max="25" width="4" style="2" bestFit="1" customWidth="1"/>
    <col min="26" max="26" width="7.7109375" style="2" bestFit="1" customWidth="1"/>
    <col min="27" max="27" width="7.5703125" style="2" bestFit="1" customWidth="1"/>
    <col min="28" max="28" width="6.85546875" style="2" bestFit="1" customWidth="1"/>
    <col min="29" max="29" width="7.28515625" style="2" bestFit="1" customWidth="1"/>
    <col min="30" max="30" width="7.42578125" style="2" bestFit="1" customWidth="1"/>
    <col min="31" max="31" width="7.85546875" style="2" bestFit="1" customWidth="1"/>
    <col min="32" max="32" width="5.85546875" style="2" bestFit="1" customWidth="1"/>
    <col min="33" max="33" width="10.42578125" style="2" customWidth="1"/>
    <col min="34" max="34" width="9.42578125" style="2" bestFit="1" customWidth="1"/>
    <col min="35" max="35" width="10.140625" style="2" bestFit="1" customWidth="1"/>
    <col min="36" max="36" width="11.140625" style="2" customWidth="1"/>
    <col min="37" max="37" width="7.42578125" style="2" bestFit="1" customWidth="1"/>
    <col min="38" max="38" width="8.85546875" style="2" bestFit="1" customWidth="1"/>
    <col min="39" max="39" width="7.42578125" style="2" bestFit="1" customWidth="1"/>
    <col min="40" max="16384" width="9.140625" style="2"/>
  </cols>
  <sheetData>
    <row r="1" spans="1:39" s="51" customFormat="1" x14ac:dyDescent="0.45">
      <c r="A1" s="44"/>
      <c r="B1" s="44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  <c r="P1" s="47"/>
      <c r="Q1" s="48"/>
      <c r="R1" s="48"/>
      <c r="S1" s="48"/>
      <c r="T1" s="49"/>
      <c r="U1" s="49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x14ac:dyDescent="0.45">
      <c r="A2" s="22"/>
      <c r="B2" s="22"/>
      <c r="C2" s="1"/>
      <c r="D2" s="1"/>
      <c r="E2" s="1"/>
      <c r="F2" s="16">
        <f ca="1">TODAY()</f>
        <v>46130</v>
      </c>
      <c r="G2" s="16"/>
      <c r="H2" s="17"/>
      <c r="I2" s="17"/>
      <c r="J2" s="1"/>
      <c r="K2" s="1"/>
      <c r="L2" s="1"/>
      <c r="M2" s="1"/>
      <c r="N2" s="30" t="s">
        <v>0</v>
      </c>
      <c r="O2" s="80" t="s">
        <v>170</v>
      </c>
      <c r="P2" s="81"/>
      <c r="Q2" s="81"/>
      <c r="R2" s="81"/>
      <c r="S2" s="82"/>
      <c r="T2" s="83" t="s">
        <v>3</v>
      </c>
      <c r="U2" s="84"/>
      <c r="V2" s="85" t="s">
        <v>172</v>
      </c>
      <c r="W2" s="86"/>
      <c r="X2" s="86"/>
      <c r="Y2" s="86"/>
      <c r="Z2" s="86"/>
      <c r="AA2" s="86"/>
      <c r="AB2" s="86"/>
      <c r="AC2" s="86"/>
      <c r="AD2" s="86"/>
      <c r="AE2" s="86"/>
      <c r="AF2" s="87"/>
      <c r="AG2" s="18" t="s">
        <v>4</v>
      </c>
      <c r="AH2" s="19"/>
      <c r="AI2" s="78" t="s">
        <v>5</v>
      </c>
      <c r="AJ2" s="79"/>
      <c r="AK2" s="79"/>
      <c r="AL2" s="79"/>
      <c r="AM2" s="79"/>
    </row>
    <row r="3" spans="1:39" s="68" customFormat="1" ht="61.5" x14ac:dyDescent="0.45">
      <c r="A3" s="41" t="s">
        <v>155</v>
      </c>
      <c r="B3" s="41" t="s">
        <v>110</v>
      </c>
      <c r="C3" s="41" t="s">
        <v>6</v>
      </c>
      <c r="D3" s="41" t="s">
        <v>8</v>
      </c>
      <c r="E3" s="41" t="s">
        <v>7</v>
      </c>
      <c r="F3" s="41" t="s">
        <v>9</v>
      </c>
      <c r="G3" s="41" t="s">
        <v>10</v>
      </c>
      <c r="H3" s="41" t="s">
        <v>11</v>
      </c>
      <c r="I3" s="53" t="s">
        <v>12</v>
      </c>
      <c r="J3" s="41" t="s">
        <v>13</v>
      </c>
      <c r="K3" s="41" t="s">
        <v>14</v>
      </c>
      <c r="L3" s="41" t="s">
        <v>15</v>
      </c>
      <c r="M3" s="41" t="s">
        <v>145</v>
      </c>
      <c r="N3" s="54" t="s">
        <v>16</v>
      </c>
      <c r="O3" s="69" t="s">
        <v>171</v>
      </c>
      <c r="P3" s="69" t="s">
        <v>138</v>
      </c>
      <c r="Q3" s="69" t="s">
        <v>39</v>
      </c>
      <c r="R3" s="69" t="s">
        <v>1</v>
      </c>
      <c r="S3" s="69" t="s">
        <v>2</v>
      </c>
      <c r="T3" s="70" t="s">
        <v>17</v>
      </c>
      <c r="U3" s="71" t="s">
        <v>18</v>
      </c>
      <c r="V3" s="72" t="s">
        <v>19</v>
      </c>
      <c r="W3" s="73" t="s">
        <v>20</v>
      </c>
      <c r="X3" s="73" t="s">
        <v>71</v>
      </c>
      <c r="Y3" s="72" t="s">
        <v>21</v>
      </c>
      <c r="Z3" s="73" t="s">
        <v>72</v>
      </c>
      <c r="AA3" s="73" t="s">
        <v>22</v>
      </c>
      <c r="AB3" s="73" t="s">
        <v>23</v>
      </c>
      <c r="AC3" s="73" t="s">
        <v>24</v>
      </c>
      <c r="AD3" s="73" t="s">
        <v>25</v>
      </c>
      <c r="AE3" s="73" t="s">
        <v>26</v>
      </c>
      <c r="AF3" s="89" t="s">
        <v>27</v>
      </c>
      <c r="AG3" s="89" t="s">
        <v>28</v>
      </c>
      <c r="AH3" s="90" t="s">
        <v>29</v>
      </c>
      <c r="AI3" s="89" t="s">
        <v>30</v>
      </c>
      <c r="AJ3" s="89" t="s">
        <v>31</v>
      </c>
      <c r="AK3" s="89" t="s">
        <v>32</v>
      </c>
      <c r="AL3" s="89" t="s">
        <v>33</v>
      </c>
      <c r="AM3" s="89" t="s">
        <v>34</v>
      </c>
    </row>
    <row r="4" spans="1:39" x14ac:dyDescent="0.45">
      <c r="A4" s="25" t="s">
        <v>73</v>
      </c>
      <c r="B4" s="20" t="s">
        <v>157</v>
      </c>
      <c r="C4" s="20" t="s">
        <v>158</v>
      </c>
      <c r="D4" s="26"/>
      <c r="E4" s="21"/>
      <c r="F4" s="5">
        <v>46113</v>
      </c>
      <c r="G4" s="14">
        <f t="shared" ref="G4" si="0">F4+365</f>
        <v>46478</v>
      </c>
      <c r="H4" s="6">
        <f ca="1">DATEDIF(F4, TODAY(), "Y")</f>
        <v>0</v>
      </c>
      <c r="I4" s="5">
        <v>29809</v>
      </c>
      <c r="J4" s="3">
        <f ca="1">DATEDIF(I4, TODAY(), "Y")</f>
        <v>44</v>
      </c>
      <c r="K4" s="4" t="s">
        <v>35</v>
      </c>
      <c r="L4" s="4" t="s">
        <v>38</v>
      </c>
      <c r="M4" s="29">
        <f>N4+X4+Z4+AA4+AB4+AC4+AD4+AE4+AG4</f>
        <v>15999.999999999998</v>
      </c>
      <c r="N4" s="7">
        <v>11851.85185185185</v>
      </c>
      <c r="O4" s="8" t="s">
        <v>70</v>
      </c>
      <c r="P4" s="3" t="s">
        <v>129</v>
      </c>
      <c r="Q4" s="11" t="s">
        <v>128</v>
      </c>
      <c r="R4" s="3"/>
      <c r="S4" s="3">
        <v>2499342026</v>
      </c>
      <c r="T4" s="3" t="s">
        <v>36</v>
      </c>
      <c r="U4" s="3" t="s">
        <v>37</v>
      </c>
      <c r="V4" s="7">
        <f>N4/30/80*1.25</f>
        <v>6.1728395061728385</v>
      </c>
      <c r="W4" s="7">
        <v>0</v>
      </c>
      <c r="X4" s="7">
        <f>N4*0.25</f>
        <v>2962.9629629629626</v>
      </c>
      <c r="Y4" s="7">
        <v>0</v>
      </c>
      <c r="Z4" s="7">
        <f t="shared" ref="Z4" si="1">N4*0.1</f>
        <v>1185.185185185185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3">
        <v>0</v>
      </c>
      <c r="AG4" s="3">
        <v>0</v>
      </c>
      <c r="AH4" s="9">
        <f t="shared" ref="AH4" si="2">N4*AG4</f>
        <v>0</v>
      </c>
      <c r="AI4" s="10">
        <f t="shared" ref="AI4" si="3">(N4+X4)*0.02</f>
        <v>296.2962962962963</v>
      </c>
      <c r="AJ4" s="10">
        <f t="shared" ref="AJ4" ca="1" si="4">N4/30*H4</f>
        <v>0</v>
      </c>
      <c r="AK4" s="13">
        <f>N4/30*2.5</f>
        <v>987.65432098765416</v>
      </c>
      <c r="AL4" s="3">
        <v>0</v>
      </c>
      <c r="AM4" s="3">
        <v>53</v>
      </c>
    </row>
    <row r="5" spans="1:39" x14ac:dyDescent="0.45">
      <c r="A5" s="74" t="s">
        <v>74</v>
      </c>
      <c r="B5" s="20" t="s">
        <v>40</v>
      </c>
      <c r="C5" s="20" t="s">
        <v>144</v>
      </c>
      <c r="D5" s="26" t="s">
        <v>156</v>
      </c>
      <c r="E5" s="21" t="s">
        <v>143</v>
      </c>
      <c r="F5" s="5">
        <v>45597</v>
      </c>
      <c r="G5" s="14">
        <f t="shared" ref="G5:G7" si="5">F5+365</f>
        <v>45962</v>
      </c>
      <c r="H5" s="6">
        <f ca="1">DATEDIF(F5, TODAY(), "Y")</f>
        <v>1</v>
      </c>
      <c r="I5" s="5">
        <v>33604</v>
      </c>
      <c r="J5" s="3">
        <f ca="1">DATEDIF(I5, TODAY(), "Y")</f>
        <v>34</v>
      </c>
      <c r="K5" s="4" t="s">
        <v>35</v>
      </c>
      <c r="L5" s="4" t="s">
        <v>38</v>
      </c>
      <c r="M5" s="29">
        <f>N5+X5+Z5+AA5+AB5+AC5+AD5+AE5+AG5</f>
        <v>13999.5</v>
      </c>
      <c r="N5" s="7">
        <v>10370</v>
      </c>
      <c r="O5" s="8" t="s">
        <v>70</v>
      </c>
      <c r="P5" s="3" t="s">
        <v>129</v>
      </c>
      <c r="Q5" s="11" t="s">
        <v>128</v>
      </c>
      <c r="R5" s="3"/>
      <c r="S5" s="3"/>
      <c r="T5" s="3" t="s">
        <v>36</v>
      </c>
      <c r="U5" s="3" t="s">
        <v>37</v>
      </c>
      <c r="V5" s="7">
        <f>N5/30/80*1.25</f>
        <v>5.401041666666667</v>
      </c>
      <c r="W5" s="7">
        <v>0</v>
      </c>
      <c r="X5" s="7">
        <f>N5*0.25</f>
        <v>2592.5</v>
      </c>
      <c r="Y5" s="7">
        <v>0</v>
      </c>
      <c r="Z5" s="7">
        <f t="shared" ref="Z5:Z17" si="6">N5*0.1</f>
        <v>1037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3">
        <v>0</v>
      </c>
      <c r="AG5" s="3">
        <v>0</v>
      </c>
      <c r="AH5" s="9">
        <f t="shared" ref="AH5:AH37" si="7">N5*AG5</f>
        <v>0</v>
      </c>
      <c r="AI5" s="10">
        <f t="shared" ref="AI5:AI37" si="8">(N5+X5)*0.02</f>
        <v>259.25</v>
      </c>
      <c r="AJ5" s="10">
        <f ca="1">N5/30*H5</f>
        <v>345.66666666666669</v>
      </c>
      <c r="AK5" s="13">
        <f>N5/30*2.5</f>
        <v>864.16666666666674</v>
      </c>
      <c r="AL5" s="3">
        <v>0</v>
      </c>
      <c r="AM5" s="3">
        <v>53</v>
      </c>
    </row>
    <row r="6" spans="1:39" x14ac:dyDescent="0.45">
      <c r="A6" s="77" t="s">
        <v>75</v>
      </c>
      <c r="B6" s="20" t="s">
        <v>41</v>
      </c>
      <c r="C6" s="20" t="s">
        <v>57</v>
      </c>
      <c r="D6" s="26" t="s">
        <v>156</v>
      </c>
      <c r="E6" s="21" t="s">
        <v>143</v>
      </c>
      <c r="F6" s="5">
        <v>45597</v>
      </c>
      <c r="G6" s="14">
        <f t="shared" si="5"/>
        <v>45962</v>
      </c>
      <c r="H6" s="6">
        <f ca="1">DATEDIF(F6, TODAY(), "Y")</f>
        <v>1</v>
      </c>
      <c r="I6" s="5">
        <v>29587</v>
      </c>
      <c r="J6" s="3">
        <f ca="1">DATEDIF(I6, TODAY(), "Y")</f>
        <v>45</v>
      </c>
      <c r="K6" s="4" t="s">
        <v>35</v>
      </c>
      <c r="L6" s="4" t="s">
        <v>38</v>
      </c>
      <c r="M6" s="29">
        <f t="shared" ref="M6:M37" si="9">N6+X6+Z6+AA6+AB6+AC6+AD6+AE6+AG6</f>
        <v>13999.5</v>
      </c>
      <c r="N6" s="7">
        <v>10370</v>
      </c>
      <c r="O6" s="8" t="s">
        <v>70</v>
      </c>
      <c r="P6" s="3" t="s">
        <v>129</v>
      </c>
      <c r="Q6" s="11" t="s">
        <v>128</v>
      </c>
      <c r="R6" s="3"/>
      <c r="S6" s="3"/>
      <c r="T6" s="3" t="s">
        <v>36</v>
      </c>
      <c r="U6" s="3" t="s">
        <v>37</v>
      </c>
      <c r="V6" s="7">
        <f>N6/30/80*1.25</f>
        <v>5.401041666666667</v>
      </c>
      <c r="W6" s="7">
        <v>0</v>
      </c>
      <c r="X6" s="7">
        <f>N6*0.25</f>
        <v>2592.5</v>
      </c>
      <c r="Y6" s="7">
        <v>0</v>
      </c>
      <c r="Z6" s="7">
        <f t="shared" si="6"/>
        <v>1037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3">
        <v>0</v>
      </c>
      <c r="AG6" s="3">
        <v>0</v>
      </c>
      <c r="AH6" s="9">
        <f t="shared" si="7"/>
        <v>0</v>
      </c>
      <c r="AI6" s="10">
        <f t="shared" si="8"/>
        <v>259.25</v>
      </c>
      <c r="AJ6" s="10">
        <f t="shared" ref="AJ6:AJ37" ca="1" si="10">N6/30*H6</f>
        <v>345.66666666666669</v>
      </c>
      <c r="AK6" s="13">
        <f t="shared" ref="AK6:AK17" si="11">N6/30*2.5</f>
        <v>864.16666666666674</v>
      </c>
      <c r="AL6" s="3">
        <v>50</v>
      </c>
      <c r="AM6" s="3">
        <v>3</v>
      </c>
    </row>
    <row r="7" spans="1:39" x14ac:dyDescent="0.45">
      <c r="A7" s="77" t="s">
        <v>76</v>
      </c>
      <c r="B7" s="20" t="s">
        <v>45</v>
      </c>
      <c r="C7" s="20" t="s">
        <v>61</v>
      </c>
      <c r="D7" s="26" t="s">
        <v>156</v>
      </c>
      <c r="E7" s="21" t="s">
        <v>143</v>
      </c>
      <c r="F7" s="5">
        <v>45839</v>
      </c>
      <c r="G7" s="14">
        <f t="shared" si="5"/>
        <v>46204</v>
      </c>
      <c r="H7" s="6">
        <f t="shared" ref="H7:H37" ca="1" si="12">DATEDIF(F7, TODAY(), "Y")</f>
        <v>0</v>
      </c>
      <c r="I7" s="5">
        <v>32928</v>
      </c>
      <c r="J7" s="3">
        <f ca="1">DATEDIF(I7, TODAY(), "Y")</f>
        <v>36</v>
      </c>
      <c r="K7" s="4" t="s">
        <v>35</v>
      </c>
      <c r="L7" s="4" t="s">
        <v>38</v>
      </c>
      <c r="M7" s="29">
        <f t="shared" si="9"/>
        <v>13999.5</v>
      </c>
      <c r="N7" s="7">
        <v>10370</v>
      </c>
      <c r="O7" s="12" t="s">
        <v>120</v>
      </c>
      <c r="P7" s="11" t="s">
        <v>121</v>
      </c>
      <c r="Q7" s="11" t="s">
        <v>128</v>
      </c>
      <c r="R7" s="11"/>
      <c r="S7" s="11">
        <v>2459354664</v>
      </c>
      <c r="T7" s="3" t="s">
        <v>36</v>
      </c>
      <c r="U7" s="3" t="s">
        <v>37</v>
      </c>
      <c r="V7" s="7">
        <f t="shared" ref="V7:V37" si="13">N7/30/80*1.25</f>
        <v>5.401041666666667</v>
      </c>
      <c r="W7" s="7">
        <v>0</v>
      </c>
      <c r="X7" s="7">
        <f t="shared" ref="X7:X37" si="14">N7*0.25</f>
        <v>2592.5</v>
      </c>
      <c r="Y7" s="11"/>
      <c r="Z7" s="7">
        <f t="shared" si="6"/>
        <v>1037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3">
        <v>0</v>
      </c>
      <c r="AG7" s="3">
        <v>0</v>
      </c>
      <c r="AH7" s="9">
        <f t="shared" si="7"/>
        <v>0</v>
      </c>
      <c r="AI7" s="10">
        <f t="shared" si="8"/>
        <v>259.25</v>
      </c>
      <c r="AJ7" s="10">
        <f t="shared" ca="1" si="10"/>
        <v>0</v>
      </c>
      <c r="AK7" s="13">
        <f t="shared" si="11"/>
        <v>864.16666666666674</v>
      </c>
      <c r="AL7" s="11"/>
      <c r="AM7" s="11"/>
    </row>
    <row r="8" spans="1:39" x14ac:dyDescent="0.45">
      <c r="A8" s="77" t="s">
        <v>77</v>
      </c>
      <c r="B8" s="20" t="s">
        <v>68</v>
      </c>
      <c r="C8" s="20" t="s">
        <v>69</v>
      </c>
      <c r="D8" s="26" t="s">
        <v>40</v>
      </c>
      <c r="E8" s="21" t="s">
        <v>144</v>
      </c>
      <c r="F8" s="5">
        <v>45597</v>
      </c>
      <c r="G8" s="14">
        <f t="shared" ref="G8:G37" si="15">F8+365</f>
        <v>45962</v>
      </c>
      <c r="H8" s="6">
        <f t="shared" ca="1" si="12"/>
        <v>1</v>
      </c>
      <c r="I8" s="5">
        <v>34700</v>
      </c>
      <c r="J8" s="3">
        <f t="shared" ref="J8:J37" ca="1" si="16">DATEDIF(I8, TODAY(), "Y")</f>
        <v>31</v>
      </c>
      <c r="K8" s="4" t="s">
        <v>35</v>
      </c>
      <c r="L8" s="4" t="s">
        <v>38</v>
      </c>
      <c r="M8" s="29">
        <f t="shared" si="9"/>
        <v>3000</v>
      </c>
      <c r="N8" s="7">
        <v>2222.2222222222222</v>
      </c>
      <c r="O8" s="12" t="s">
        <v>70</v>
      </c>
      <c r="P8" s="3" t="s">
        <v>129</v>
      </c>
      <c r="Q8" s="11" t="s">
        <v>128</v>
      </c>
      <c r="R8" s="11"/>
      <c r="S8" s="11"/>
      <c r="T8" s="3" t="s">
        <v>36</v>
      </c>
      <c r="U8" s="3" t="s">
        <v>37</v>
      </c>
      <c r="V8" s="7">
        <f t="shared" si="13"/>
        <v>1.1574074074074074</v>
      </c>
      <c r="W8" s="7">
        <v>0</v>
      </c>
      <c r="X8" s="7">
        <f t="shared" si="14"/>
        <v>555.55555555555554</v>
      </c>
      <c r="Y8" s="11"/>
      <c r="Z8" s="7">
        <f t="shared" si="6"/>
        <v>222.22222222222223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3">
        <v>0</v>
      </c>
      <c r="AG8" s="3">
        <v>0</v>
      </c>
      <c r="AH8" s="9">
        <f t="shared" si="7"/>
        <v>0</v>
      </c>
      <c r="AI8" s="10">
        <f t="shared" si="8"/>
        <v>55.555555555555557</v>
      </c>
      <c r="AJ8" s="10">
        <f t="shared" ca="1" si="10"/>
        <v>74.074074074074076</v>
      </c>
      <c r="AK8" s="13">
        <f t="shared" si="11"/>
        <v>185.18518518518519</v>
      </c>
      <c r="AL8" s="11"/>
      <c r="AM8" s="11"/>
    </row>
    <row r="9" spans="1:39" x14ac:dyDescent="0.45">
      <c r="A9" s="77" t="s">
        <v>78</v>
      </c>
      <c r="B9" s="20" t="s">
        <v>44</v>
      </c>
      <c r="C9" s="20" t="s">
        <v>60</v>
      </c>
      <c r="D9" s="26" t="s">
        <v>108</v>
      </c>
      <c r="E9" s="21" t="s">
        <v>69</v>
      </c>
      <c r="F9" s="5">
        <v>45901</v>
      </c>
      <c r="G9" s="14">
        <f t="shared" si="15"/>
        <v>46266</v>
      </c>
      <c r="H9" s="6">
        <f t="shared" ca="1" si="12"/>
        <v>0</v>
      </c>
      <c r="I9" s="5">
        <v>35368</v>
      </c>
      <c r="J9" s="3">
        <f t="shared" ca="1" si="16"/>
        <v>29</v>
      </c>
      <c r="K9" s="32" t="s">
        <v>38</v>
      </c>
      <c r="L9" s="4" t="s">
        <v>38</v>
      </c>
      <c r="M9" s="29">
        <f t="shared" si="9"/>
        <v>3500</v>
      </c>
      <c r="N9" s="7">
        <v>2592.5925925925926</v>
      </c>
      <c r="O9" s="12" t="s">
        <v>70</v>
      </c>
      <c r="P9" s="3" t="s">
        <v>129</v>
      </c>
      <c r="Q9" s="11" t="s">
        <v>128</v>
      </c>
      <c r="R9" s="11"/>
      <c r="S9" s="11">
        <v>2536850510</v>
      </c>
      <c r="T9" s="3" t="s">
        <v>36</v>
      </c>
      <c r="U9" s="3" t="s">
        <v>37</v>
      </c>
      <c r="V9" s="7">
        <f t="shared" si="13"/>
        <v>1.3503086419753088</v>
      </c>
      <c r="W9" s="7">
        <v>0</v>
      </c>
      <c r="X9" s="7">
        <f t="shared" si="14"/>
        <v>648.14814814814815</v>
      </c>
      <c r="Y9" s="11"/>
      <c r="Z9" s="7">
        <f t="shared" si="6"/>
        <v>259.2592592592593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3">
        <v>0</v>
      </c>
      <c r="AG9" s="3">
        <v>0</v>
      </c>
      <c r="AH9" s="9">
        <f t="shared" si="7"/>
        <v>0</v>
      </c>
      <c r="AI9" s="10">
        <f t="shared" si="8"/>
        <v>64.814814814814824</v>
      </c>
      <c r="AJ9" s="10">
        <f t="shared" ca="1" si="10"/>
        <v>0</v>
      </c>
      <c r="AK9" s="13">
        <f t="shared" si="11"/>
        <v>216.04938271604939</v>
      </c>
      <c r="AL9" s="11"/>
      <c r="AM9" s="11"/>
    </row>
    <row r="10" spans="1:39" x14ac:dyDescent="0.45">
      <c r="A10" s="77" t="s">
        <v>79</v>
      </c>
      <c r="B10" s="20" t="s">
        <v>43</v>
      </c>
      <c r="C10" s="20" t="s">
        <v>59</v>
      </c>
      <c r="D10" s="26" t="s">
        <v>156</v>
      </c>
      <c r="E10" s="21" t="s">
        <v>143</v>
      </c>
      <c r="F10" s="5">
        <v>46054</v>
      </c>
      <c r="G10" s="14">
        <f>F10+365</f>
        <v>46419</v>
      </c>
      <c r="H10" s="6">
        <f ca="1">DATEDIF(F10, TODAY(), "Y")</f>
        <v>0</v>
      </c>
      <c r="I10" s="5">
        <v>36708</v>
      </c>
      <c r="J10" s="3">
        <f ca="1">DATEDIF(I10, TODAY(), "Y")</f>
        <v>25</v>
      </c>
      <c r="K10" s="4" t="s">
        <v>35</v>
      </c>
      <c r="L10" s="4" t="s">
        <v>38</v>
      </c>
      <c r="M10" s="29">
        <f>N10+X10+Z10+AA10+AB10+AC10+AD10+AE10+AG10</f>
        <v>3500</v>
      </c>
      <c r="N10" s="7">
        <v>2592.5925925925926</v>
      </c>
      <c r="O10" s="12" t="s">
        <v>122</v>
      </c>
      <c r="P10" s="11" t="s">
        <v>123</v>
      </c>
      <c r="Q10" s="11" t="s">
        <v>128</v>
      </c>
      <c r="R10" s="11"/>
      <c r="S10" s="11">
        <v>2564444343</v>
      </c>
      <c r="T10" s="3" t="s">
        <v>36</v>
      </c>
      <c r="U10" s="3" t="s">
        <v>37</v>
      </c>
      <c r="V10" s="7">
        <f>N10/30/80*1.25</f>
        <v>1.3503086419753088</v>
      </c>
      <c r="W10" s="7">
        <v>0</v>
      </c>
      <c r="X10" s="7">
        <f>N10*0.25</f>
        <v>648.14814814814815</v>
      </c>
      <c r="Y10" s="11"/>
      <c r="Z10" s="7">
        <f>N10*0.1</f>
        <v>259.2592592592593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3">
        <v>0</v>
      </c>
      <c r="AG10" s="3">
        <v>0</v>
      </c>
      <c r="AH10" s="9">
        <f>N10*AG10</f>
        <v>0</v>
      </c>
      <c r="AI10" s="10">
        <f>(N10+X10)*0.02</f>
        <v>64.814814814814824</v>
      </c>
      <c r="AJ10" s="10">
        <f ca="1">N10/30*H10</f>
        <v>0</v>
      </c>
      <c r="AK10" s="13">
        <f>N10/30*2.5</f>
        <v>216.04938271604939</v>
      </c>
      <c r="AL10" s="11"/>
      <c r="AM10" s="11"/>
    </row>
    <row r="11" spans="1:39" x14ac:dyDescent="0.45">
      <c r="A11" s="77" t="s">
        <v>80</v>
      </c>
      <c r="B11" s="20" t="s">
        <v>42</v>
      </c>
      <c r="C11" s="20" t="s">
        <v>58</v>
      </c>
      <c r="D11" s="26" t="s">
        <v>40</v>
      </c>
      <c r="E11" s="21" t="s">
        <v>144</v>
      </c>
      <c r="F11" s="5">
        <v>46054</v>
      </c>
      <c r="G11" s="14">
        <f t="shared" si="15"/>
        <v>46419</v>
      </c>
      <c r="H11" s="6">
        <f t="shared" ca="1" si="12"/>
        <v>0</v>
      </c>
      <c r="I11" s="5">
        <v>33043</v>
      </c>
      <c r="J11" s="3">
        <f t="shared" ca="1" si="16"/>
        <v>35</v>
      </c>
      <c r="K11" s="32" t="s">
        <v>35</v>
      </c>
      <c r="L11" s="4" t="s">
        <v>38</v>
      </c>
      <c r="M11" s="29">
        <f t="shared" si="9"/>
        <v>3999.9999999999995</v>
      </c>
      <c r="N11" s="7">
        <v>2962.9629629629626</v>
      </c>
      <c r="O11" s="12" t="s">
        <v>70</v>
      </c>
      <c r="P11" s="3" t="s">
        <v>129</v>
      </c>
      <c r="Q11" s="11" t="s">
        <v>128</v>
      </c>
      <c r="R11" s="11"/>
      <c r="S11" s="11"/>
      <c r="T11" s="3" t="s">
        <v>36</v>
      </c>
      <c r="U11" s="3" t="s">
        <v>37</v>
      </c>
      <c r="V11" s="7">
        <f t="shared" si="13"/>
        <v>1.5432098765432096</v>
      </c>
      <c r="W11" s="7">
        <v>0</v>
      </c>
      <c r="X11" s="7">
        <f t="shared" si="14"/>
        <v>740.74074074074065</v>
      </c>
      <c r="Y11" s="11"/>
      <c r="Z11" s="7">
        <f t="shared" si="6"/>
        <v>296.29629629629625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3">
        <v>0</v>
      </c>
      <c r="AG11" s="3">
        <v>0</v>
      </c>
      <c r="AH11" s="9">
        <f t="shared" si="7"/>
        <v>0</v>
      </c>
      <c r="AI11" s="10">
        <f t="shared" si="8"/>
        <v>74.074074074074076</v>
      </c>
      <c r="AJ11" s="10">
        <f t="shared" ca="1" si="10"/>
        <v>0</v>
      </c>
      <c r="AK11" s="13">
        <f t="shared" si="11"/>
        <v>246.91358024691354</v>
      </c>
      <c r="AL11" s="11"/>
      <c r="AM11" s="11"/>
    </row>
    <row r="12" spans="1:39" x14ac:dyDescent="0.45">
      <c r="A12" s="77" t="s">
        <v>81</v>
      </c>
      <c r="B12" s="20" t="s">
        <v>46</v>
      </c>
      <c r="C12" s="20" t="s">
        <v>62</v>
      </c>
      <c r="D12" s="26" t="s">
        <v>109</v>
      </c>
      <c r="E12" s="21" t="s">
        <v>61</v>
      </c>
      <c r="F12" s="5">
        <v>46098</v>
      </c>
      <c r="G12" s="14">
        <f t="shared" si="15"/>
        <v>46463</v>
      </c>
      <c r="H12" s="6">
        <f t="shared" ca="1" si="12"/>
        <v>0</v>
      </c>
      <c r="I12" s="5">
        <v>32753</v>
      </c>
      <c r="J12" s="3">
        <f t="shared" ca="1" si="16"/>
        <v>36</v>
      </c>
      <c r="K12" s="32" t="s">
        <v>35</v>
      </c>
      <c r="L12" s="4" t="s">
        <v>38</v>
      </c>
      <c r="M12" s="29">
        <f t="shared" si="9"/>
        <v>8500</v>
      </c>
      <c r="N12" s="7">
        <v>6296.2962962962956</v>
      </c>
      <c r="O12" s="12" t="s">
        <v>70</v>
      </c>
      <c r="P12" s="3" t="s">
        <v>129</v>
      </c>
      <c r="Q12" s="11" t="s">
        <v>128</v>
      </c>
      <c r="R12" s="11"/>
      <c r="S12" s="11">
        <v>2499893903</v>
      </c>
      <c r="T12" s="3" t="s">
        <v>36</v>
      </c>
      <c r="U12" s="3" t="s">
        <v>37</v>
      </c>
      <c r="V12" s="7">
        <f t="shared" si="13"/>
        <v>3.2793209876543203</v>
      </c>
      <c r="W12" s="7">
        <v>0</v>
      </c>
      <c r="X12" s="7">
        <f t="shared" si="14"/>
        <v>1574.0740740740739</v>
      </c>
      <c r="Y12" s="11"/>
      <c r="Z12" s="7">
        <f t="shared" si="6"/>
        <v>629.62962962962956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4">
        <v>0</v>
      </c>
      <c r="AG12" s="4">
        <v>0</v>
      </c>
      <c r="AH12" s="91">
        <f t="shared" si="7"/>
        <v>0</v>
      </c>
      <c r="AI12" s="10">
        <f t="shared" si="8"/>
        <v>157.40740740740739</v>
      </c>
      <c r="AJ12" s="10">
        <f t="shared" ca="1" si="10"/>
        <v>0</v>
      </c>
      <c r="AK12" s="13">
        <f t="shared" si="11"/>
        <v>524.69135802469134</v>
      </c>
      <c r="AL12" s="11"/>
      <c r="AM12" s="11"/>
    </row>
    <row r="13" spans="1:39" x14ac:dyDescent="0.45">
      <c r="A13" s="77" t="s">
        <v>82</v>
      </c>
      <c r="B13" s="20" t="s">
        <v>173</v>
      </c>
      <c r="C13" s="20" t="s">
        <v>62</v>
      </c>
      <c r="D13" s="26" t="s">
        <v>109</v>
      </c>
      <c r="E13" s="21" t="s">
        <v>61</v>
      </c>
      <c r="F13" s="5">
        <v>46113</v>
      </c>
      <c r="G13" s="14">
        <f t="shared" si="15"/>
        <v>46478</v>
      </c>
      <c r="H13" s="6">
        <f t="shared" ca="1" si="12"/>
        <v>0</v>
      </c>
      <c r="I13" s="5">
        <v>30655</v>
      </c>
      <c r="J13" s="3">
        <f t="shared" ca="1" si="16"/>
        <v>42</v>
      </c>
      <c r="K13" s="32" t="s">
        <v>35</v>
      </c>
      <c r="L13" s="4" t="s">
        <v>174</v>
      </c>
      <c r="M13" s="29">
        <f t="shared" si="9"/>
        <v>24999.999999999996</v>
      </c>
      <c r="N13" s="7">
        <v>18518.518518518518</v>
      </c>
      <c r="O13" s="12" t="s">
        <v>120</v>
      </c>
      <c r="P13" s="3" t="s">
        <v>121</v>
      </c>
      <c r="Q13" s="11" t="s">
        <v>128</v>
      </c>
      <c r="R13" s="11"/>
      <c r="S13" s="11">
        <v>2458701873</v>
      </c>
      <c r="T13" s="3" t="s">
        <v>36</v>
      </c>
      <c r="U13" s="3" t="s">
        <v>37</v>
      </c>
      <c r="V13" s="7">
        <f t="shared" ref="V13" si="17">N13/30/80*1.25</f>
        <v>9.6450617283950617</v>
      </c>
      <c r="W13" s="7">
        <v>1</v>
      </c>
      <c r="X13" s="7">
        <f t="shared" ref="X13" si="18">N13*0.25</f>
        <v>4629.6296296296296</v>
      </c>
      <c r="Y13" s="11"/>
      <c r="Z13" s="7">
        <f t="shared" ref="Z13" si="19">N13*0.1</f>
        <v>1851.851851851852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4">
        <v>0</v>
      </c>
      <c r="AG13" s="4">
        <v>0</v>
      </c>
      <c r="AH13" s="91">
        <f t="shared" ref="AH13" si="20">N13*AG13</f>
        <v>0</v>
      </c>
      <c r="AI13" s="10">
        <f t="shared" ref="AI13" si="21">(N13+X13)*0.02</f>
        <v>462.96296296296293</v>
      </c>
      <c r="AJ13" s="10">
        <f t="shared" ref="AJ13" ca="1" si="22">N13/30*H13</f>
        <v>0</v>
      </c>
      <c r="AK13" s="13">
        <f t="shared" ref="AK13" si="23">N13/30*2.5</f>
        <v>1543.2098765432099</v>
      </c>
      <c r="AL13" s="11"/>
      <c r="AM13" s="11"/>
    </row>
    <row r="14" spans="1:39" x14ac:dyDescent="0.45">
      <c r="A14" s="77" t="s">
        <v>83</v>
      </c>
      <c r="B14" s="20" t="s">
        <v>104</v>
      </c>
      <c r="C14" s="20" t="s">
        <v>105</v>
      </c>
      <c r="D14" s="26" t="s">
        <v>109</v>
      </c>
      <c r="E14" s="21" t="s">
        <v>61</v>
      </c>
      <c r="F14" s="5">
        <v>45901</v>
      </c>
      <c r="G14" s="14">
        <f t="shared" si="15"/>
        <v>46266</v>
      </c>
      <c r="H14" s="6">
        <f t="shared" ca="1" si="12"/>
        <v>0</v>
      </c>
      <c r="I14" s="5">
        <v>31335</v>
      </c>
      <c r="J14" s="3">
        <f t="shared" ca="1" si="16"/>
        <v>40</v>
      </c>
      <c r="K14" s="32" t="s">
        <v>35</v>
      </c>
      <c r="L14" s="4" t="s">
        <v>38</v>
      </c>
      <c r="M14" s="29">
        <f t="shared" si="9"/>
        <v>7499.9999999999991</v>
      </c>
      <c r="N14" s="7">
        <v>5555.5555555555547</v>
      </c>
      <c r="O14" s="12" t="s">
        <v>124</v>
      </c>
      <c r="P14" s="11" t="s">
        <v>125</v>
      </c>
      <c r="Q14" s="11" t="s">
        <v>127</v>
      </c>
      <c r="R14" s="11"/>
      <c r="S14" s="11">
        <v>2311419119</v>
      </c>
      <c r="T14" s="3" t="s">
        <v>36</v>
      </c>
      <c r="U14" s="3" t="s">
        <v>37</v>
      </c>
      <c r="V14" s="7">
        <f t="shared" si="13"/>
        <v>2.8935185185185182</v>
      </c>
      <c r="W14" s="7">
        <v>0</v>
      </c>
      <c r="X14" s="7">
        <f t="shared" si="14"/>
        <v>1388.8888888888887</v>
      </c>
      <c r="Y14" s="11"/>
      <c r="Z14" s="7">
        <f t="shared" si="6"/>
        <v>555.55555555555554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4">
        <v>0</v>
      </c>
      <c r="AG14" s="4">
        <v>0</v>
      </c>
      <c r="AH14" s="91">
        <f t="shared" si="7"/>
        <v>0</v>
      </c>
      <c r="AI14" s="10">
        <f t="shared" si="8"/>
        <v>138.88888888888889</v>
      </c>
      <c r="AJ14" s="10">
        <f t="shared" ca="1" si="10"/>
        <v>0</v>
      </c>
      <c r="AK14" s="13">
        <f t="shared" si="11"/>
        <v>462.96296296296293</v>
      </c>
      <c r="AL14" s="11"/>
      <c r="AM14" s="11"/>
    </row>
    <row r="15" spans="1:39" x14ac:dyDescent="0.45">
      <c r="A15" s="77" t="s">
        <v>84</v>
      </c>
      <c r="B15" s="20" t="s">
        <v>47</v>
      </c>
      <c r="C15" s="20" t="s">
        <v>63</v>
      </c>
      <c r="D15" s="26" t="s">
        <v>40</v>
      </c>
      <c r="E15" s="21" t="s">
        <v>144</v>
      </c>
      <c r="F15" s="5">
        <v>46062</v>
      </c>
      <c r="G15" s="14">
        <f t="shared" si="15"/>
        <v>46427</v>
      </c>
      <c r="H15" s="6">
        <f t="shared" ca="1" si="12"/>
        <v>0</v>
      </c>
      <c r="I15" s="5">
        <v>30571</v>
      </c>
      <c r="J15" s="3">
        <f t="shared" ca="1" si="16"/>
        <v>42</v>
      </c>
      <c r="K15" s="32" t="s">
        <v>35</v>
      </c>
      <c r="L15" s="4" t="s">
        <v>38</v>
      </c>
      <c r="M15" s="29">
        <f t="shared" si="9"/>
        <v>6000</v>
      </c>
      <c r="N15" s="7">
        <v>4444.4444444444443</v>
      </c>
      <c r="O15" s="12" t="s">
        <v>70</v>
      </c>
      <c r="P15" s="3" t="s">
        <v>129</v>
      </c>
      <c r="Q15" s="11" t="s">
        <v>128</v>
      </c>
      <c r="R15" s="11"/>
      <c r="S15" s="11">
        <v>2571029764</v>
      </c>
      <c r="T15" s="3" t="s">
        <v>36</v>
      </c>
      <c r="U15" s="3" t="s">
        <v>37</v>
      </c>
      <c r="V15" s="7">
        <f t="shared" si="13"/>
        <v>2.3148148148148149</v>
      </c>
      <c r="W15" s="7">
        <v>0</v>
      </c>
      <c r="X15" s="7">
        <f t="shared" si="14"/>
        <v>1111.1111111111111</v>
      </c>
      <c r="Y15" s="11"/>
      <c r="Z15" s="7">
        <f t="shared" si="6"/>
        <v>444.44444444444446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4">
        <v>0</v>
      </c>
      <c r="AG15" s="4">
        <v>0</v>
      </c>
      <c r="AH15" s="91">
        <f t="shared" si="7"/>
        <v>0</v>
      </c>
      <c r="AI15" s="10">
        <f t="shared" si="8"/>
        <v>111.11111111111111</v>
      </c>
      <c r="AJ15" s="10">
        <f t="shared" ca="1" si="10"/>
        <v>0</v>
      </c>
      <c r="AK15" s="13">
        <f t="shared" si="11"/>
        <v>370.37037037037038</v>
      </c>
      <c r="AL15" s="11"/>
      <c r="AM15" s="11"/>
    </row>
    <row r="16" spans="1:39" x14ac:dyDescent="0.45">
      <c r="A16" s="77" t="s">
        <v>85</v>
      </c>
      <c r="B16" s="20" t="s">
        <v>48</v>
      </c>
      <c r="C16" s="20" t="s">
        <v>64</v>
      </c>
      <c r="D16" s="26" t="s">
        <v>139</v>
      </c>
      <c r="E16" s="21" t="s">
        <v>63</v>
      </c>
      <c r="F16" s="5">
        <v>45848</v>
      </c>
      <c r="G16" s="14">
        <f t="shared" si="15"/>
        <v>46213</v>
      </c>
      <c r="H16" s="6">
        <f t="shared" ca="1" si="12"/>
        <v>0</v>
      </c>
      <c r="I16" s="5">
        <v>37633</v>
      </c>
      <c r="J16" s="3">
        <f t="shared" ca="1" si="16"/>
        <v>23</v>
      </c>
      <c r="K16" s="32" t="s">
        <v>38</v>
      </c>
      <c r="L16" s="4" t="s">
        <v>38</v>
      </c>
      <c r="M16" s="29">
        <f t="shared" si="9"/>
        <v>4499.9999999999991</v>
      </c>
      <c r="N16" s="7">
        <v>3333.333333333333</v>
      </c>
      <c r="O16" s="12" t="s">
        <v>70</v>
      </c>
      <c r="P16" s="11" t="s">
        <v>129</v>
      </c>
      <c r="Q16" s="11" t="s">
        <v>130</v>
      </c>
      <c r="R16" s="11"/>
      <c r="S16" s="11">
        <v>2196460311</v>
      </c>
      <c r="T16" s="3" t="s">
        <v>36</v>
      </c>
      <c r="U16" s="3" t="s">
        <v>37</v>
      </c>
      <c r="V16" s="7">
        <f t="shared" si="13"/>
        <v>1.7361111111111112</v>
      </c>
      <c r="W16" s="7">
        <v>0</v>
      </c>
      <c r="X16" s="7">
        <f t="shared" si="14"/>
        <v>833.33333333333326</v>
      </c>
      <c r="Y16" s="11"/>
      <c r="Z16" s="7">
        <f t="shared" si="6"/>
        <v>333.33333333333331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4">
        <v>0</v>
      </c>
      <c r="AG16" s="4">
        <v>0</v>
      </c>
      <c r="AH16" s="91">
        <f t="shared" si="7"/>
        <v>0</v>
      </c>
      <c r="AI16" s="10">
        <f t="shared" si="8"/>
        <v>83.333333333333329</v>
      </c>
      <c r="AJ16" s="10">
        <f t="shared" ca="1" si="10"/>
        <v>0</v>
      </c>
      <c r="AK16" s="13">
        <f t="shared" si="11"/>
        <v>277.77777777777777</v>
      </c>
      <c r="AL16" s="11"/>
      <c r="AM16" s="11"/>
    </row>
    <row r="17" spans="1:39" x14ac:dyDescent="0.45">
      <c r="A17" s="77" t="s">
        <v>86</v>
      </c>
      <c r="B17" s="20" t="s">
        <v>49</v>
      </c>
      <c r="C17" s="20" t="s">
        <v>64</v>
      </c>
      <c r="D17" s="26" t="s">
        <v>48</v>
      </c>
      <c r="E17" s="21" t="s">
        <v>64</v>
      </c>
      <c r="F17" s="5">
        <v>46054</v>
      </c>
      <c r="G17" s="14">
        <f t="shared" si="15"/>
        <v>46419</v>
      </c>
      <c r="H17" s="6">
        <f t="shared" ca="1" si="12"/>
        <v>0</v>
      </c>
      <c r="I17" s="5">
        <v>33531</v>
      </c>
      <c r="J17" s="3">
        <f t="shared" ca="1" si="16"/>
        <v>34</v>
      </c>
      <c r="K17" s="32" t="s">
        <v>169</v>
      </c>
      <c r="L17" s="4" t="s">
        <v>38</v>
      </c>
      <c r="M17" s="29">
        <f t="shared" si="9"/>
        <v>2500</v>
      </c>
      <c r="N17" s="7">
        <v>1851.8518518518517</v>
      </c>
      <c r="O17" s="12" t="s">
        <v>70</v>
      </c>
      <c r="P17" s="11" t="s">
        <v>129</v>
      </c>
      <c r="Q17" s="11" t="s">
        <v>128</v>
      </c>
      <c r="R17" s="11"/>
      <c r="S17" s="11">
        <v>2482682800</v>
      </c>
      <c r="T17" s="3" t="s">
        <v>36</v>
      </c>
      <c r="U17" s="3" t="s">
        <v>37</v>
      </c>
      <c r="V17" s="7">
        <f t="shared" si="13"/>
        <v>0.96450617283950613</v>
      </c>
      <c r="W17" s="7">
        <v>0</v>
      </c>
      <c r="X17" s="7">
        <f t="shared" si="14"/>
        <v>462.96296296296293</v>
      </c>
      <c r="Y17" s="11"/>
      <c r="Z17" s="7">
        <f t="shared" si="6"/>
        <v>185.18518518518519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4">
        <v>0</v>
      </c>
      <c r="AG17" s="4">
        <v>0</v>
      </c>
      <c r="AH17" s="91">
        <f t="shared" si="7"/>
        <v>0</v>
      </c>
      <c r="AI17" s="10">
        <f t="shared" si="8"/>
        <v>46.296296296296298</v>
      </c>
      <c r="AJ17" s="10">
        <f t="shared" ca="1" si="10"/>
        <v>0</v>
      </c>
      <c r="AK17" s="13">
        <f t="shared" si="11"/>
        <v>154.32098765432099</v>
      </c>
      <c r="AL17" s="11"/>
      <c r="AM17" s="11"/>
    </row>
    <row r="18" spans="1:39" ht="17.25" customHeight="1" x14ac:dyDescent="0.45">
      <c r="A18" s="77" t="s">
        <v>87</v>
      </c>
      <c r="B18" s="20" t="s">
        <v>52</v>
      </c>
      <c r="C18" s="20" t="s">
        <v>140</v>
      </c>
      <c r="D18" s="26" t="s">
        <v>139</v>
      </c>
      <c r="E18" s="21" t="s">
        <v>63</v>
      </c>
      <c r="F18" s="5">
        <v>45871</v>
      </c>
      <c r="G18" s="14">
        <f t="shared" ref="G18:G24" si="24">F18+365</f>
        <v>46236</v>
      </c>
      <c r="H18" s="6">
        <f t="shared" ca="1" si="12"/>
        <v>0</v>
      </c>
      <c r="I18" s="5">
        <v>34481</v>
      </c>
      <c r="J18" s="3">
        <f t="shared" ref="J18:J24" ca="1" si="25">DATEDIF(I18, TODAY(), "Y")</f>
        <v>31</v>
      </c>
      <c r="K18" s="32" t="s">
        <v>169</v>
      </c>
      <c r="L18" s="4" t="s">
        <v>38</v>
      </c>
      <c r="M18" s="29">
        <f t="shared" si="9"/>
        <v>3500</v>
      </c>
      <c r="N18" s="7">
        <v>2592.5925925925926</v>
      </c>
      <c r="O18" s="12" t="s">
        <v>124</v>
      </c>
      <c r="P18" s="11" t="s">
        <v>125</v>
      </c>
      <c r="Q18" s="11" t="s">
        <v>128</v>
      </c>
      <c r="R18" s="11"/>
      <c r="S18" s="11">
        <v>2578130706</v>
      </c>
      <c r="T18" s="3" t="s">
        <v>36</v>
      </c>
      <c r="U18" s="3" t="s">
        <v>37</v>
      </c>
      <c r="V18" s="7">
        <f t="shared" ref="V18:V24" si="26">N18/30/80*1.25</f>
        <v>1.3503086419753088</v>
      </c>
      <c r="W18" s="7">
        <v>0</v>
      </c>
      <c r="X18" s="7">
        <f t="shared" ref="X18:X24" si="27">N18*0.25</f>
        <v>648.14814814814815</v>
      </c>
      <c r="Y18" s="11"/>
      <c r="Z18" s="7">
        <f t="shared" ref="Z18:Z24" si="28">N18*0.1</f>
        <v>259.2592592592593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4">
        <v>0</v>
      </c>
      <c r="AG18" s="4">
        <v>0</v>
      </c>
      <c r="AH18" s="91">
        <f t="shared" si="7"/>
        <v>0</v>
      </c>
      <c r="AI18" s="10">
        <f t="shared" si="8"/>
        <v>64.814814814814824</v>
      </c>
      <c r="AJ18" s="10">
        <f t="shared" ca="1" si="10"/>
        <v>0</v>
      </c>
      <c r="AK18" s="13">
        <f t="shared" ref="AK18:AK24" si="29">N18/30*2.5</f>
        <v>216.04938271604939</v>
      </c>
      <c r="AL18" s="11"/>
      <c r="AM18" s="11"/>
    </row>
    <row r="19" spans="1:39" x14ac:dyDescent="0.45">
      <c r="A19" s="77" t="s">
        <v>88</v>
      </c>
      <c r="B19" s="20" t="s">
        <v>53</v>
      </c>
      <c r="C19" s="20" t="s">
        <v>66</v>
      </c>
      <c r="D19" s="26" t="s">
        <v>139</v>
      </c>
      <c r="E19" s="21" t="s">
        <v>63</v>
      </c>
      <c r="F19" s="5">
        <v>46064</v>
      </c>
      <c r="G19" s="14">
        <f t="shared" si="24"/>
        <v>46429</v>
      </c>
      <c r="H19" s="6">
        <f t="shared" ca="1" si="12"/>
        <v>0</v>
      </c>
      <c r="I19" s="5">
        <v>35995</v>
      </c>
      <c r="J19" s="3">
        <f t="shared" ca="1" si="25"/>
        <v>27</v>
      </c>
      <c r="K19" s="32" t="s">
        <v>35</v>
      </c>
      <c r="L19" s="4" t="s">
        <v>38</v>
      </c>
      <c r="M19" s="29">
        <f t="shared" si="9"/>
        <v>3500</v>
      </c>
      <c r="N19" s="7">
        <v>2592.5925925925926</v>
      </c>
      <c r="O19" s="12" t="s">
        <v>70</v>
      </c>
      <c r="P19" s="11" t="s">
        <v>129</v>
      </c>
      <c r="Q19" s="11" t="s">
        <v>131</v>
      </c>
      <c r="R19" s="11"/>
      <c r="S19" s="11">
        <v>2525273385</v>
      </c>
      <c r="T19" s="3" t="s">
        <v>36</v>
      </c>
      <c r="U19" s="3" t="s">
        <v>37</v>
      </c>
      <c r="V19" s="7">
        <f t="shared" si="26"/>
        <v>1.3503086419753088</v>
      </c>
      <c r="W19" s="7">
        <v>0</v>
      </c>
      <c r="X19" s="7">
        <f t="shared" si="27"/>
        <v>648.14814814814815</v>
      </c>
      <c r="Y19" s="11"/>
      <c r="Z19" s="7">
        <f t="shared" si="28"/>
        <v>259.2592592592593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4">
        <v>0</v>
      </c>
      <c r="AG19" s="4">
        <v>0</v>
      </c>
      <c r="AH19" s="91">
        <f t="shared" si="7"/>
        <v>0</v>
      </c>
      <c r="AI19" s="10">
        <f t="shared" si="8"/>
        <v>64.814814814814824</v>
      </c>
      <c r="AJ19" s="10">
        <f t="shared" ca="1" si="10"/>
        <v>0</v>
      </c>
      <c r="AK19" s="13">
        <f t="shared" si="29"/>
        <v>216.04938271604939</v>
      </c>
      <c r="AL19" s="11"/>
      <c r="AM19" s="11"/>
    </row>
    <row r="20" spans="1:39" x14ac:dyDescent="0.45">
      <c r="A20" s="77" t="s">
        <v>89</v>
      </c>
      <c r="B20" s="20" t="s">
        <v>54</v>
      </c>
      <c r="C20" s="20" t="s">
        <v>66</v>
      </c>
      <c r="D20" s="26" t="s">
        <v>139</v>
      </c>
      <c r="E20" s="21" t="s">
        <v>63</v>
      </c>
      <c r="F20" s="5">
        <v>46062</v>
      </c>
      <c r="G20" s="14">
        <f t="shared" si="24"/>
        <v>46427</v>
      </c>
      <c r="H20" s="6">
        <f t="shared" ca="1" si="12"/>
        <v>0</v>
      </c>
      <c r="I20" s="5">
        <v>31499</v>
      </c>
      <c r="J20" s="3">
        <f t="shared" ca="1" si="25"/>
        <v>40</v>
      </c>
      <c r="K20" s="32" t="s">
        <v>35</v>
      </c>
      <c r="L20" s="4" t="s">
        <v>38</v>
      </c>
      <c r="M20" s="29">
        <f t="shared" si="9"/>
        <v>5000</v>
      </c>
      <c r="N20" s="7">
        <v>3703.7037037037035</v>
      </c>
      <c r="O20" s="12" t="s">
        <v>132</v>
      </c>
      <c r="P20" s="11" t="s">
        <v>133</v>
      </c>
      <c r="Q20" s="11" t="s">
        <v>130</v>
      </c>
      <c r="R20" s="11"/>
      <c r="S20" s="11">
        <v>20580559268</v>
      </c>
      <c r="T20" s="3" t="s">
        <v>36</v>
      </c>
      <c r="U20" s="3" t="s">
        <v>37</v>
      </c>
      <c r="V20" s="7">
        <f t="shared" si="26"/>
        <v>1.9290123456790123</v>
      </c>
      <c r="W20" s="7">
        <v>0</v>
      </c>
      <c r="X20" s="7">
        <f t="shared" si="27"/>
        <v>925.92592592592587</v>
      </c>
      <c r="Y20" s="11"/>
      <c r="Z20" s="7">
        <f t="shared" si="28"/>
        <v>370.37037037037038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4">
        <v>0</v>
      </c>
      <c r="AG20" s="4">
        <v>0</v>
      </c>
      <c r="AH20" s="91">
        <f t="shared" si="7"/>
        <v>0</v>
      </c>
      <c r="AI20" s="10">
        <f t="shared" si="8"/>
        <v>92.592592592592595</v>
      </c>
      <c r="AJ20" s="10">
        <f t="shared" ca="1" si="10"/>
        <v>0</v>
      </c>
      <c r="AK20" s="13">
        <f t="shared" si="29"/>
        <v>308.64197530864197</v>
      </c>
      <c r="AL20" s="11"/>
      <c r="AM20" s="11"/>
    </row>
    <row r="21" spans="1:39" x14ac:dyDescent="0.45">
      <c r="A21" s="77" t="s">
        <v>90</v>
      </c>
      <c r="B21" s="20" t="s">
        <v>55</v>
      </c>
      <c r="C21" s="20" t="s">
        <v>66</v>
      </c>
      <c r="D21" s="26" t="s">
        <v>139</v>
      </c>
      <c r="E21" s="21" t="s">
        <v>63</v>
      </c>
      <c r="F21" s="5">
        <v>46084</v>
      </c>
      <c r="G21" s="14">
        <f t="shared" si="24"/>
        <v>46449</v>
      </c>
      <c r="H21" s="6">
        <f t="shared" ca="1" si="12"/>
        <v>0</v>
      </c>
      <c r="I21" s="5">
        <v>35081</v>
      </c>
      <c r="J21" s="3">
        <f t="shared" ca="1" si="25"/>
        <v>30</v>
      </c>
      <c r="K21" s="32" t="s">
        <v>38</v>
      </c>
      <c r="L21" s="4" t="s">
        <v>38</v>
      </c>
      <c r="M21" s="29">
        <f t="shared" si="9"/>
        <v>3500.55</v>
      </c>
      <c r="N21" s="7">
        <v>2593</v>
      </c>
      <c r="O21" s="12" t="s">
        <v>70</v>
      </c>
      <c r="P21" s="11" t="s">
        <v>129</v>
      </c>
      <c r="Q21" s="11" t="s">
        <v>127</v>
      </c>
      <c r="R21" s="11"/>
      <c r="S21" s="11">
        <v>2570618336</v>
      </c>
      <c r="T21" s="3" t="s">
        <v>36</v>
      </c>
      <c r="U21" s="3" t="s">
        <v>37</v>
      </c>
      <c r="V21" s="7">
        <f t="shared" si="26"/>
        <v>1.3505208333333334</v>
      </c>
      <c r="W21" s="7"/>
      <c r="X21" s="7">
        <f t="shared" si="27"/>
        <v>648.25</v>
      </c>
      <c r="Y21" s="11"/>
      <c r="Z21" s="7">
        <f t="shared" si="28"/>
        <v>259.3</v>
      </c>
      <c r="AA21" s="7"/>
      <c r="AB21" s="7"/>
      <c r="AC21" s="7"/>
      <c r="AD21" s="7"/>
      <c r="AE21" s="7"/>
      <c r="AF21" s="4">
        <v>0</v>
      </c>
      <c r="AG21" s="4">
        <v>0</v>
      </c>
      <c r="AH21" s="91"/>
      <c r="AI21" s="10">
        <f t="shared" si="8"/>
        <v>64.825000000000003</v>
      </c>
      <c r="AJ21" s="10">
        <f t="shared" ca="1" si="10"/>
        <v>0</v>
      </c>
      <c r="AK21" s="13">
        <f t="shared" si="29"/>
        <v>216.08333333333334</v>
      </c>
      <c r="AL21" s="11"/>
      <c r="AM21" s="11"/>
    </row>
    <row r="22" spans="1:39" x14ac:dyDescent="0.45">
      <c r="A22" s="77" t="s">
        <v>91</v>
      </c>
      <c r="B22" s="20" t="s">
        <v>56</v>
      </c>
      <c r="C22" s="20" t="s">
        <v>67</v>
      </c>
      <c r="D22" s="20" t="s">
        <v>43</v>
      </c>
      <c r="E22" s="21" t="s">
        <v>59</v>
      </c>
      <c r="F22" s="5">
        <v>46065</v>
      </c>
      <c r="G22" s="14">
        <f t="shared" si="24"/>
        <v>46430</v>
      </c>
      <c r="H22" s="6">
        <f t="shared" ca="1" si="12"/>
        <v>0</v>
      </c>
      <c r="I22" s="5">
        <v>34553</v>
      </c>
      <c r="J22" s="3">
        <f t="shared" ca="1" si="25"/>
        <v>31</v>
      </c>
      <c r="K22" s="32" t="s">
        <v>38</v>
      </c>
      <c r="L22" s="4" t="s">
        <v>38</v>
      </c>
      <c r="M22" s="29">
        <f t="shared" si="9"/>
        <v>3500</v>
      </c>
      <c r="N22" s="7">
        <v>2592.5925925925926</v>
      </c>
      <c r="O22" s="12" t="s">
        <v>132</v>
      </c>
      <c r="P22" s="11" t="s">
        <v>133</v>
      </c>
      <c r="Q22" s="11" t="s">
        <v>130</v>
      </c>
      <c r="R22" s="11"/>
      <c r="S22" s="11">
        <v>2466410095</v>
      </c>
      <c r="T22" s="3" t="s">
        <v>36</v>
      </c>
      <c r="U22" s="3" t="s">
        <v>37</v>
      </c>
      <c r="V22" s="7">
        <f t="shared" si="26"/>
        <v>1.3503086419753088</v>
      </c>
      <c r="W22" s="7">
        <v>0</v>
      </c>
      <c r="X22" s="7">
        <f t="shared" si="27"/>
        <v>648.14814814814815</v>
      </c>
      <c r="Y22" s="11"/>
      <c r="Z22" s="7">
        <f t="shared" si="28"/>
        <v>259.2592592592593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4">
        <v>0</v>
      </c>
      <c r="AG22" s="4">
        <v>0</v>
      </c>
      <c r="AH22" s="91">
        <f t="shared" si="7"/>
        <v>0</v>
      </c>
      <c r="AI22" s="10">
        <f t="shared" si="8"/>
        <v>64.814814814814824</v>
      </c>
      <c r="AJ22" s="10">
        <f t="shared" ca="1" si="10"/>
        <v>0</v>
      </c>
      <c r="AK22" s="13">
        <f t="shared" si="29"/>
        <v>216.04938271604939</v>
      </c>
      <c r="AL22" s="11"/>
      <c r="AM22" s="11"/>
    </row>
    <row r="23" spans="1:39" x14ac:dyDescent="0.45">
      <c r="A23" s="77" t="s">
        <v>92</v>
      </c>
      <c r="B23" s="20" t="s">
        <v>50</v>
      </c>
      <c r="C23" s="20" t="s">
        <v>65</v>
      </c>
      <c r="D23" s="27" t="s">
        <v>52</v>
      </c>
      <c r="E23" s="21" t="s">
        <v>140</v>
      </c>
      <c r="F23" s="5">
        <v>45778</v>
      </c>
      <c r="G23" s="14">
        <f t="shared" si="24"/>
        <v>46143</v>
      </c>
      <c r="H23" s="6">
        <f t="shared" ca="1" si="12"/>
        <v>0</v>
      </c>
      <c r="I23" s="5">
        <v>33878</v>
      </c>
      <c r="J23" s="3">
        <f t="shared" ca="1" si="25"/>
        <v>33</v>
      </c>
      <c r="K23" s="32" t="s">
        <v>35</v>
      </c>
      <c r="L23" s="4" t="s">
        <v>38</v>
      </c>
      <c r="M23" s="29">
        <f t="shared" si="9"/>
        <v>2500</v>
      </c>
      <c r="N23" s="7">
        <v>1851.8518518518517</v>
      </c>
      <c r="O23" s="12" t="s">
        <v>126</v>
      </c>
      <c r="P23" s="11" t="s">
        <v>134</v>
      </c>
      <c r="Q23" s="11" t="s">
        <v>128</v>
      </c>
      <c r="R23" s="11"/>
      <c r="S23" s="11">
        <v>2505872222</v>
      </c>
      <c r="T23" s="3" t="s">
        <v>36</v>
      </c>
      <c r="U23" s="3" t="s">
        <v>37</v>
      </c>
      <c r="V23" s="7">
        <f t="shared" si="26"/>
        <v>0.96450617283950613</v>
      </c>
      <c r="W23" s="7">
        <v>0</v>
      </c>
      <c r="X23" s="7">
        <f t="shared" si="27"/>
        <v>462.96296296296293</v>
      </c>
      <c r="Y23" s="11"/>
      <c r="Z23" s="7">
        <f t="shared" si="28"/>
        <v>185.18518518518519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4">
        <v>0</v>
      </c>
      <c r="AG23" s="4">
        <v>0</v>
      </c>
      <c r="AH23" s="91">
        <f t="shared" si="7"/>
        <v>0</v>
      </c>
      <c r="AI23" s="10">
        <f t="shared" si="8"/>
        <v>46.296296296296298</v>
      </c>
      <c r="AJ23" s="10">
        <f t="shared" ca="1" si="10"/>
        <v>0</v>
      </c>
      <c r="AK23" s="13">
        <f t="shared" si="29"/>
        <v>154.32098765432099</v>
      </c>
      <c r="AL23" s="11"/>
      <c r="AM23" s="11"/>
    </row>
    <row r="24" spans="1:39" x14ac:dyDescent="0.45">
      <c r="A24" s="77" t="s">
        <v>93</v>
      </c>
      <c r="B24" s="20" t="s">
        <v>51</v>
      </c>
      <c r="C24" s="20" t="s">
        <v>65</v>
      </c>
      <c r="D24" s="27" t="s">
        <v>52</v>
      </c>
      <c r="E24" s="21" t="s">
        <v>140</v>
      </c>
      <c r="F24" s="5">
        <v>46114</v>
      </c>
      <c r="G24" s="14">
        <f t="shared" si="24"/>
        <v>46479</v>
      </c>
      <c r="H24" s="6">
        <f t="shared" ca="1" si="12"/>
        <v>0</v>
      </c>
      <c r="I24" s="5">
        <v>37762</v>
      </c>
      <c r="J24" s="3">
        <f t="shared" ca="1" si="25"/>
        <v>22</v>
      </c>
      <c r="K24" s="32" t="s">
        <v>38</v>
      </c>
      <c r="L24" s="4" t="s">
        <v>38</v>
      </c>
      <c r="M24" s="29">
        <f t="shared" si="9"/>
        <v>1999.9999999999998</v>
      </c>
      <c r="N24" s="7">
        <v>1481.4814814814813</v>
      </c>
      <c r="O24" s="12" t="s">
        <v>126</v>
      </c>
      <c r="P24" s="11" t="s">
        <v>134</v>
      </c>
      <c r="Q24" s="11" t="s">
        <v>128</v>
      </c>
      <c r="R24" s="11"/>
      <c r="S24" s="11">
        <v>2620512919</v>
      </c>
      <c r="T24" s="3" t="s">
        <v>36</v>
      </c>
      <c r="U24" s="3" t="s">
        <v>37</v>
      </c>
      <c r="V24" s="7">
        <f t="shared" si="26"/>
        <v>0.77160493827160481</v>
      </c>
      <c r="W24" s="7">
        <v>0</v>
      </c>
      <c r="X24" s="7">
        <f t="shared" si="27"/>
        <v>370.37037037037032</v>
      </c>
      <c r="Y24" s="11"/>
      <c r="Z24" s="7">
        <f t="shared" si="28"/>
        <v>148.14814814814812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4">
        <v>0</v>
      </c>
      <c r="AG24" s="4">
        <v>0</v>
      </c>
      <c r="AH24" s="91">
        <f t="shared" si="7"/>
        <v>0</v>
      </c>
      <c r="AI24" s="10">
        <f t="shared" si="8"/>
        <v>37.037037037037038</v>
      </c>
      <c r="AJ24" s="10">
        <f t="shared" ca="1" si="10"/>
        <v>0</v>
      </c>
      <c r="AK24" s="13">
        <f t="shared" si="29"/>
        <v>123.45679012345677</v>
      </c>
      <c r="AL24" s="11"/>
      <c r="AM24" s="11"/>
    </row>
    <row r="25" spans="1:39" x14ac:dyDescent="0.45">
      <c r="A25" s="77" t="s">
        <v>94</v>
      </c>
      <c r="B25" s="20" t="s">
        <v>106</v>
      </c>
      <c r="C25" s="20" t="s">
        <v>107</v>
      </c>
      <c r="D25" s="26" t="s">
        <v>142</v>
      </c>
      <c r="E25" s="21" t="s">
        <v>60</v>
      </c>
      <c r="F25" s="5">
        <v>46105</v>
      </c>
      <c r="G25" s="14">
        <f t="shared" si="15"/>
        <v>46470</v>
      </c>
      <c r="H25" s="6">
        <f t="shared" ca="1" si="12"/>
        <v>0</v>
      </c>
      <c r="I25" s="5">
        <v>32873</v>
      </c>
      <c r="J25" s="3">
        <f t="shared" ca="1" si="16"/>
        <v>36</v>
      </c>
      <c r="K25" s="32" t="s">
        <v>35</v>
      </c>
      <c r="L25" s="4" t="s">
        <v>38</v>
      </c>
      <c r="M25" s="29">
        <f t="shared" si="9"/>
        <v>1999.9999999999998</v>
      </c>
      <c r="N25" s="15">
        <v>1481.4814814814813</v>
      </c>
      <c r="O25" s="12" t="s">
        <v>126</v>
      </c>
      <c r="P25" s="11" t="s">
        <v>134</v>
      </c>
      <c r="Q25" s="11" t="s">
        <v>128</v>
      </c>
      <c r="R25" s="11"/>
      <c r="S25" s="11">
        <v>2444225607</v>
      </c>
      <c r="T25" s="3" t="s">
        <v>36</v>
      </c>
      <c r="U25" s="3" t="s">
        <v>37</v>
      </c>
      <c r="V25" s="7">
        <f t="shared" si="13"/>
        <v>0.77160493827160481</v>
      </c>
      <c r="W25" s="7">
        <v>0</v>
      </c>
      <c r="X25" s="7">
        <f t="shared" si="14"/>
        <v>370.37037037037032</v>
      </c>
      <c r="Y25" s="11"/>
      <c r="Z25" s="7">
        <f t="shared" ref="Z25:Z37" si="30">N25*0.1</f>
        <v>148.14814814814812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4">
        <v>0</v>
      </c>
      <c r="AG25" s="4">
        <v>0</v>
      </c>
      <c r="AH25" s="91">
        <f t="shared" si="7"/>
        <v>0</v>
      </c>
      <c r="AI25" s="10">
        <f t="shared" si="8"/>
        <v>37.037037037037038</v>
      </c>
      <c r="AJ25" s="10">
        <f t="shared" ca="1" si="10"/>
        <v>0</v>
      </c>
      <c r="AK25" s="13">
        <f t="shared" ref="AK25:AK37" si="31">N25/30*2.5</f>
        <v>123.45679012345677</v>
      </c>
      <c r="AL25" s="11"/>
      <c r="AM25" s="11"/>
    </row>
    <row r="26" spans="1:39" x14ac:dyDescent="0.45">
      <c r="A26" s="77" t="s">
        <v>95</v>
      </c>
      <c r="B26" s="23" t="s">
        <v>111</v>
      </c>
      <c r="C26" s="20" t="s">
        <v>119</v>
      </c>
      <c r="D26" s="27" t="s">
        <v>52</v>
      </c>
      <c r="E26" s="21" t="s">
        <v>140</v>
      </c>
      <c r="F26" s="5">
        <v>46092</v>
      </c>
      <c r="G26" s="14">
        <f t="shared" si="15"/>
        <v>46457</v>
      </c>
      <c r="H26" s="6">
        <f t="shared" ca="1" si="12"/>
        <v>0</v>
      </c>
      <c r="I26" s="5">
        <v>32363</v>
      </c>
      <c r="J26" s="3">
        <f t="shared" ca="1" si="16"/>
        <v>37</v>
      </c>
      <c r="K26" s="32" t="s">
        <v>35</v>
      </c>
      <c r="L26" s="4" t="s">
        <v>38</v>
      </c>
      <c r="M26" s="29">
        <f t="shared" si="9"/>
        <v>3500</v>
      </c>
      <c r="N26" s="15">
        <v>2592.5925925925926</v>
      </c>
      <c r="O26" s="12" t="s">
        <v>132</v>
      </c>
      <c r="P26" s="11" t="s">
        <v>133</v>
      </c>
      <c r="Q26" s="11" t="s">
        <v>128</v>
      </c>
      <c r="R26" s="11"/>
      <c r="S26" s="11">
        <v>2572409825</v>
      </c>
      <c r="T26" s="3" t="s">
        <v>36</v>
      </c>
      <c r="U26" s="3" t="s">
        <v>37</v>
      </c>
      <c r="V26" s="7">
        <f t="shared" si="13"/>
        <v>1.3503086419753088</v>
      </c>
      <c r="W26" s="7">
        <v>0</v>
      </c>
      <c r="X26" s="7">
        <f t="shared" si="14"/>
        <v>648.14814814814815</v>
      </c>
      <c r="Y26" s="11"/>
      <c r="Z26" s="7">
        <f t="shared" si="30"/>
        <v>259.2592592592593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4">
        <v>0</v>
      </c>
      <c r="AG26" s="4">
        <v>0</v>
      </c>
      <c r="AH26" s="91">
        <f t="shared" si="7"/>
        <v>0</v>
      </c>
      <c r="AI26" s="10">
        <f t="shared" si="8"/>
        <v>64.814814814814824</v>
      </c>
      <c r="AJ26" s="10">
        <f t="shared" ca="1" si="10"/>
        <v>0</v>
      </c>
      <c r="AK26" s="13">
        <f t="shared" si="31"/>
        <v>216.04938271604939</v>
      </c>
      <c r="AL26" s="11"/>
      <c r="AM26" s="11"/>
    </row>
    <row r="27" spans="1:39" x14ac:dyDescent="0.45">
      <c r="A27" s="77" t="s">
        <v>159</v>
      </c>
      <c r="B27" s="23" t="s">
        <v>112</v>
      </c>
      <c r="C27" s="20" t="s">
        <v>119</v>
      </c>
      <c r="D27" s="27" t="s">
        <v>52</v>
      </c>
      <c r="E27" s="21" t="s">
        <v>140</v>
      </c>
      <c r="F27" s="5">
        <v>45859</v>
      </c>
      <c r="G27" s="14">
        <f t="shared" si="15"/>
        <v>46224</v>
      </c>
      <c r="H27" s="6">
        <f t="shared" ca="1" si="12"/>
        <v>0</v>
      </c>
      <c r="I27" s="5">
        <v>30066</v>
      </c>
      <c r="J27" s="3">
        <f t="shared" ca="1" si="16"/>
        <v>43</v>
      </c>
      <c r="K27" s="32" t="s">
        <v>35</v>
      </c>
      <c r="L27" s="4" t="s">
        <v>38</v>
      </c>
      <c r="M27" s="29">
        <f t="shared" si="9"/>
        <v>3000</v>
      </c>
      <c r="N27" s="15">
        <v>2222.2222222222222</v>
      </c>
      <c r="O27" s="12" t="s">
        <v>124</v>
      </c>
      <c r="P27" s="11" t="s">
        <v>125</v>
      </c>
      <c r="Q27" s="11" t="s">
        <v>128</v>
      </c>
      <c r="R27" s="11"/>
      <c r="S27" s="11">
        <v>2603959731</v>
      </c>
      <c r="T27" s="3" t="s">
        <v>36</v>
      </c>
      <c r="U27" s="3" t="s">
        <v>37</v>
      </c>
      <c r="V27" s="7">
        <f t="shared" si="13"/>
        <v>1.1574074074074074</v>
      </c>
      <c r="W27" s="7">
        <v>0</v>
      </c>
      <c r="X27" s="7">
        <f t="shared" si="14"/>
        <v>555.55555555555554</v>
      </c>
      <c r="Y27" s="11"/>
      <c r="Z27" s="7">
        <f t="shared" si="30"/>
        <v>222.22222222222223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4">
        <v>0</v>
      </c>
      <c r="AG27" s="4">
        <v>0</v>
      </c>
      <c r="AH27" s="91">
        <f t="shared" si="7"/>
        <v>0</v>
      </c>
      <c r="AI27" s="10">
        <f t="shared" si="8"/>
        <v>55.555555555555557</v>
      </c>
      <c r="AJ27" s="10">
        <f t="shared" ca="1" si="10"/>
        <v>0</v>
      </c>
      <c r="AK27" s="13">
        <f t="shared" si="31"/>
        <v>185.18518518518519</v>
      </c>
      <c r="AL27" s="11"/>
      <c r="AM27" s="11"/>
    </row>
    <row r="28" spans="1:39" x14ac:dyDescent="0.45">
      <c r="A28" s="77" t="s">
        <v>160</v>
      </c>
      <c r="B28" s="23" t="s">
        <v>113</v>
      </c>
      <c r="C28" s="20" t="s">
        <v>119</v>
      </c>
      <c r="D28" s="27" t="s">
        <v>52</v>
      </c>
      <c r="E28" s="21" t="s">
        <v>140</v>
      </c>
      <c r="F28" s="5">
        <v>45859</v>
      </c>
      <c r="G28" s="14">
        <f t="shared" si="15"/>
        <v>46224</v>
      </c>
      <c r="H28" s="6">
        <f t="shared" ca="1" si="12"/>
        <v>0</v>
      </c>
      <c r="I28" s="5">
        <v>36947</v>
      </c>
      <c r="J28" s="3">
        <f t="shared" ca="1" si="16"/>
        <v>25</v>
      </c>
      <c r="K28" s="32" t="s">
        <v>38</v>
      </c>
      <c r="L28" s="4" t="s">
        <v>38</v>
      </c>
      <c r="M28" s="29">
        <f t="shared" si="9"/>
        <v>3000</v>
      </c>
      <c r="N28" s="15">
        <v>2222.2222222222222</v>
      </c>
      <c r="O28" s="12" t="s">
        <v>124</v>
      </c>
      <c r="P28" s="11" t="s">
        <v>125</v>
      </c>
      <c r="Q28" s="11" t="s">
        <v>128</v>
      </c>
      <c r="R28" s="11"/>
      <c r="S28" s="11">
        <v>2527077107</v>
      </c>
      <c r="T28" s="3" t="s">
        <v>36</v>
      </c>
      <c r="U28" s="3" t="s">
        <v>37</v>
      </c>
      <c r="V28" s="7">
        <f t="shared" si="13"/>
        <v>1.1574074074074074</v>
      </c>
      <c r="W28" s="7">
        <v>0</v>
      </c>
      <c r="X28" s="7">
        <f t="shared" si="14"/>
        <v>555.55555555555554</v>
      </c>
      <c r="Y28" s="11"/>
      <c r="Z28" s="7">
        <f t="shared" si="30"/>
        <v>222.22222222222223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4">
        <v>0</v>
      </c>
      <c r="AG28" s="4">
        <v>0</v>
      </c>
      <c r="AH28" s="91">
        <f t="shared" si="7"/>
        <v>0</v>
      </c>
      <c r="AI28" s="10">
        <f t="shared" si="8"/>
        <v>55.555555555555557</v>
      </c>
      <c r="AJ28" s="10">
        <f t="shared" ca="1" si="10"/>
        <v>0</v>
      </c>
      <c r="AK28" s="13">
        <f t="shared" si="31"/>
        <v>185.18518518518519</v>
      </c>
      <c r="AL28" s="11"/>
      <c r="AM28" s="11"/>
    </row>
    <row r="29" spans="1:39" x14ac:dyDescent="0.45">
      <c r="A29" s="77" t="s">
        <v>96</v>
      </c>
      <c r="B29" s="23" t="s">
        <v>114</v>
      </c>
      <c r="C29" s="20" t="s">
        <v>119</v>
      </c>
      <c r="D29" s="27" t="s">
        <v>52</v>
      </c>
      <c r="E29" s="21" t="s">
        <v>140</v>
      </c>
      <c r="F29" s="5">
        <v>45859</v>
      </c>
      <c r="G29" s="14">
        <f t="shared" si="15"/>
        <v>46224</v>
      </c>
      <c r="H29" s="6">
        <f t="shared" ca="1" si="12"/>
        <v>0</v>
      </c>
      <c r="I29" s="5">
        <v>36698</v>
      </c>
      <c r="J29" s="3">
        <f t="shared" ca="1" si="16"/>
        <v>25</v>
      </c>
      <c r="K29" s="32" t="s">
        <v>38</v>
      </c>
      <c r="L29" s="4" t="s">
        <v>38</v>
      </c>
      <c r="M29" s="29">
        <f t="shared" si="9"/>
        <v>3000</v>
      </c>
      <c r="N29" s="15">
        <v>2222.2222222222222</v>
      </c>
      <c r="O29" s="12" t="s">
        <v>124</v>
      </c>
      <c r="P29" s="11" t="s">
        <v>125</v>
      </c>
      <c r="Q29" s="11" t="s">
        <v>128</v>
      </c>
      <c r="R29" s="11"/>
      <c r="S29" s="11">
        <v>2566762213</v>
      </c>
      <c r="T29" s="3" t="s">
        <v>36</v>
      </c>
      <c r="U29" s="3" t="s">
        <v>37</v>
      </c>
      <c r="V29" s="7">
        <f t="shared" si="13"/>
        <v>1.1574074074074074</v>
      </c>
      <c r="W29" s="7">
        <v>0</v>
      </c>
      <c r="X29" s="7">
        <f t="shared" si="14"/>
        <v>555.55555555555554</v>
      </c>
      <c r="Y29" s="11"/>
      <c r="Z29" s="7">
        <f t="shared" si="30"/>
        <v>222.22222222222223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4">
        <v>0</v>
      </c>
      <c r="AG29" s="4">
        <v>0</v>
      </c>
      <c r="AH29" s="91">
        <f t="shared" si="7"/>
        <v>0</v>
      </c>
      <c r="AI29" s="10">
        <f t="shared" si="8"/>
        <v>55.555555555555557</v>
      </c>
      <c r="AJ29" s="10">
        <f t="shared" ca="1" si="10"/>
        <v>0</v>
      </c>
      <c r="AK29" s="13">
        <f t="shared" si="31"/>
        <v>185.18518518518519</v>
      </c>
      <c r="AL29" s="11"/>
      <c r="AM29" s="11"/>
    </row>
    <row r="30" spans="1:39" x14ac:dyDescent="0.45">
      <c r="A30" s="77" t="s">
        <v>97</v>
      </c>
      <c r="B30" s="23" t="s">
        <v>166</v>
      </c>
      <c r="C30" s="20" t="s">
        <v>119</v>
      </c>
      <c r="D30" s="27" t="s">
        <v>52</v>
      </c>
      <c r="E30" s="21" t="s">
        <v>140</v>
      </c>
      <c r="F30" s="5">
        <v>46113</v>
      </c>
      <c r="G30" s="14">
        <f t="shared" si="15"/>
        <v>46478</v>
      </c>
      <c r="H30" s="6">
        <f t="shared" ca="1" si="12"/>
        <v>0</v>
      </c>
      <c r="I30" s="5">
        <v>31977</v>
      </c>
      <c r="J30" s="3">
        <f t="shared" ca="1" si="16"/>
        <v>38</v>
      </c>
      <c r="K30" s="32" t="s">
        <v>169</v>
      </c>
      <c r="L30" s="4" t="s">
        <v>38</v>
      </c>
      <c r="M30" s="29">
        <f t="shared" si="9"/>
        <v>2500.1999999999998</v>
      </c>
      <c r="N30" s="15">
        <v>1852</v>
      </c>
      <c r="O30" s="12" t="s">
        <v>126</v>
      </c>
      <c r="P30" s="11" t="s">
        <v>134</v>
      </c>
      <c r="Q30" s="11" t="s">
        <v>128</v>
      </c>
      <c r="R30" s="11"/>
      <c r="S30" s="11">
        <v>2508287634</v>
      </c>
      <c r="T30" s="3" t="s">
        <v>36</v>
      </c>
      <c r="U30" s="3" t="s">
        <v>37</v>
      </c>
      <c r="V30" s="7">
        <f t="shared" si="13"/>
        <v>0.96458333333333335</v>
      </c>
      <c r="W30" s="7"/>
      <c r="X30" s="7">
        <f t="shared" si="14"/>
        <v>463</v>
      </c>
      <c r="Y30" s="11"/>
      <c r="Z30" s="7">
        <f t="shared" si="30"/>
        <v>185.20000000000002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4">
        <v>0</v>
      </c>
      <c r="AG30" s="4">
        <v>0</v>
      </c>
      <c r="AH30" s="91">
        <f t="shared" si="7"/>
        <v>0</v>
      </c>
      <c r="AI30" s="10">
        <f t="shared" si="8"/>
        <v>46.300000000000004</v>
      </c>
      <c r="AJ30" s="10">
        <f t="shared" ca="1" si="10"/>
        <v>0</v>
      </c>
      <c r="AK30" s="13">
        <f t="shared" si="31"/>
        <v>154.33333333333334</v>
      </c>
      <c r="AL30" s="11"/>
      <c r="AM30" s="11"/>
    </row>
    <row r="31" spans="1:39" x14ac:dyDescent="0.45">
      <c r="A31" s="77" t="s">
        <v>98</v>
      </c>
      <c r="B31" s="23" t="s">
        <v>115</v>
      </c>
      <c r="C31" s="20" t="s">
        <v>119</v>
      </c>
      <c r="D31" s="27" t="s">
        <v>52</v>
      </c>
      <c r="E31" s="21" t="s">
        <v>140</v>
      </c>
      <c r="F31" s="5">
        <v>46078</v>
      </c>
      <c r="G31" s="14">
        <f t="shared" si="15"/>
        <v>46443</v>
      </c>
      <c r="H31" s="6">
        <f t="shared" ca="1" si="12"/>
        <v>0</v>
      </c>
      <c r="I31" s="5">
        <v>36244</v>
      </c>
      <c r="J31" s="3">
        <f t="shared" ca="1" si="16"/>
        <v>27</v>
      </c>
      <c r="K31" s="32" t="s">
        <v>38</v>
      </c>
      <c r="L31" s="4" t="s">
        <v>38</v>
      </c>
      <c r="M31" s="29">
        <f t="shared" si="9"/>
        <v>3500</v>
      </c>
      <c r="N31" s="15">
        <v>2592.5925925925926</v>
      </c>
      <c r="O31" s="12" t="s">
        <v>132</v>
      </c>
      <c r="P31" s="11" t="s">
        <v>125</v>
      </c>
      <c r="Q31" s="11" t="s">
        <v>135</v>
      </c>
      <c r="R31" s="11"/>
      <c r="S31" s="11">
        <v>2501909184</v>
      </c>
      <c r="T31" s="3" t="s">
        <v>36</v>
      </c>
      <c r="U31" s="3" t="s">
        <v>37</v>
      </c>
      <c r="V31" s="7">
        <f t="shared" si="13"/>
        <v>1.3503086419753088</v>
      </c>
      <c r="W31" s="7">
        <v>0</v>
      </c>
      <c r="X31" s="7">
        <f t="shared" si="14"/>
        <v>648.14814814814815</v>
      </c>
      <c r="Y31" s="11"/>
      <c r="Z31" s="7">
        <f t="shared" si="30"/>
        <v>259.2592592592593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4">
        <v>0</v>
      </c>
      <c r="AG31" s="4">
        <v>0</v>
      </c>
      <c r="AH31" s="91">
        <f t="shared" si="7"/>
        <v>0</v>
      </c>
      <c r="AI31" s="10">
        <f t="shared" si="8"/>
        <v>64.814814814814824</v>
      </c>
      <c r="AJ31" s="10">
        <f t="shared" ca="1" si="10"/>
        <v>0</v>
      </c>
      <c r="AK31" s="13">
        <f t="shared" si="31"/>
        <v>216.04938271604939</v>
      </c>
      <c r="AL31" s="11"/>
      <c r="AM31" s="11"/>
    </row>
    <row r="32" spans="1:39" x14ac:dyDescent="0.45">
      <c r="A32" s="77" t="s">
        <v>99</v>
      </c>
      <c r="B32" s="23" t="s">
        <v>116</v>
      </c>
      <c r="C32" s="20" t="s">
        <v>119</v>
      </c>
      <c r="D32" s="27" t="s">
        <v>53</v>
      </c>
      <c r="E32" s="21" t="s">
        <v>66</v>
      </c>
      <c r="F32" s="5">
        <v>46078</v>
      </c>
      <c r="G32" s="14">
        <f t="shared" si="15"/>
        <v>46443</v>
      </c>
      <c r="H32" s="6">
        <f t="shared" ca="1" si="12"/>
        <v>0</v>
      </c>
      <c r="I32" s="5">
        <v>35446</v>
      </c>
      <c r="J32" s="3">
        <f t="shared" ca="1" si="16"/>
        <v>29</v>
      </c>
      <c r="K32" s="32" t="s">
        <v>38</v>
      </c>
      <c r="L32" s="4" t="s">
        <v>38</v>
      </c>
      <c r="M32" s="29">
        <f t="shared" si="9"/>
        <v>3500</v>
      </c>
      <c r="N32" s="15">
        <v>2592.5925925925926</v>
      </c>
      <c r="O32" s="12" t="s">
        <v>70</v>
      </c>
      <c r="P32" s="11" t="s">
        <v>129</v>
      </c>
      <c r="Q32" s="11" t="s">
        <v>131</v>
      </c>
      <c r="R32" s="11"/>
      <c r="S32" s="11">
        <v>2503552719</v>
      </c>
      <c r="T32" s="3" t="s">
        <v>36</v>
      </c>
      <c r="U32" s="3" t="s">
        <v>37</v>
      </c>
      <c r="V32" s="7">
        <f t="shared" si="13"/>
        <v>1.3503086419753088</v>
      </c>
      <c r="W32" s="7">
        <v>0</v>
      </c>
      <c r="X32" s="7">
        <f t="shared" si="14"/>
        <v>648.14814814814815</v>
      </c>
      <c r="Y32" s="11"/>
      <c r="Z32" s="7">
        <f t="shared" si="30"/>
        <v>259.2592592592593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4">
        <v>0</v>
      </c>
      <c r="AG32" s="4">
        <v>0</v>
      </c>
      <c r="AH32" s="91">
        <f t="shared" si="7"/>
        <v>0</v>
      </c>
      <c r="AI32" s="10">
        <f t="shared" si="8"/>
        <v>64.814814814814824</v>
      </c>
      <c r="AJ32" s="10">
        <f t="shared" ca="1" si="10"/>
        <v>0</v>
      </c>
      <c r="AK32" s="13">
        <f t="shared" si="31"/>
        <v>216.04938271604939</v>
      </c>
      <c r="AL32" s="11"/>
      <c r="AM32" s="11"/>
    </row>
    <row r="33" spans="1:39" x14ac:dyDescent="0.45">
      <c r="A33" s="77" t="s">
        <v>100</v>
      </c>
      <c r="B33" s="23" t="s">
        <v>117</v>
      </c>
      <c r="C33" s="20" t="s">
        <v>119</v>
      </c>
      <c r="D33" s="20" t="s">
        <v>141</v>
      </c>
      <c r="E33" s="21" t="s">
        <v>140</v>
      </c>
      <c r="F33" s="5">
        <v>45903</v>
      </c>
      <c r="G33" s="14">
        <f t="shared" si="15"/>
        <v>46268</v>
      </c>
      <c r="H33" s="6">
        <f t="shared" ca="1" si="12"/>
        <v>0</v>
      </c>
      <c r="I33" s="5">
        <v>36267</v>
      </c>
      <c r="J33" s="3">
        <f t="shared" ca="1" si="16"/>
        <v>27</v>
      </c>
      <c r="K33" s="32" t="s">
        <v>38</v>
      </c>
      <c r="L33" s="4" t="s">
        <v>38</v>
      </c>
      <c r="M33" s="29">
        <f t="shared" si="9"/>
        <v>3000</v>
      </c>
      <c r="N33" s="15">
        <v>2222.2222222222222</v>
      </c>
      <c r="O33" s="12" t="s">
        <v>137</v>
      </c>
      <c r="P33" s="11" t="s">
        <v>136</v>
      </c>
      <c r="Q33" s="11" t="s">
        <v>130</v>
      </c>
      <c r="R33" s="11"/>
      <c r="S33" s="11">
        <v>2213094820</v>
      </c>
      <c r="T33" s="3" t="s">
        <v>36</v>
      </c>
      <c r="U33" s="3" t="s">
        <v>37</v>
      </c>
      <c r="V33" s="7">
        <f t="shared" si="13"/>
        <v>1.1574074074074074</v>
      </c>
      <c r="W33" s="7">
        <v>0</v>
      </c>
      <c r="X33" s="7">
        <f t="shared" si="14"/>
        <v>555.55555555555554</v>
      </c>
      <c r="Y33" s="11"/>
      <c r="Z33" s="7">
        <f t="shared" si="30"/>
        <v>222.22222222222223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4">
        <v>0</v>
      </c>
      <c r="AG33" s="4">
        <v>0</v>
      </c>
      <c r="AH33" s="91">
        <f t="shared" si="7"/>
        <v>0</v>
      </c>
      <c r="AI33" s="10">
        <f t="shared" si="8"/>
        <v>55.555555555555557</v>
      </c>
      <c r="AJ33" s="10">
        <f t="shared" ca="1" si="10"/>
        <v>0</v>
      </c>
      <c r="AK33" s="13">
        <f t="shared" si="31"/>
        <v>185.18518518518519</v>
      </c>
      <c r="AL33" s="11"/>
      <c r="AM33" s="11"/>
    </row>
    <row r="34" spans="1:39" x14ac:dyDescent="0.45">
      <c r="A34" s="77" t="s">
        <v>101</v>
      </c>
      <c r="B34" s="23" t="s">
        <v>118</v>
      </c>
      <c r="C34" s="20" t="s">
        <v>119</v>
      </c>
      <c r="D34" s="20" t="s">
        <v>141</v>
      </c>
      <c r="E34" s="21" t="s">
        <v>140</v>
      </c>
      <c r="F34" s="5">
        <v>45902</v>
      </c>
      <c r="G34" s="14">
        <f t="shared" si="15"/>
        <v>46267</v>
      </c>
      <c r="H34" s="6">
        <f t="shared" ca="1" si="12"/>
        <v>0</v>
      </c>
      <c r="I34" s="5">
        <v>29952</v>
      </c>
      <c r="J34" s="3">
        <f t="shared" ca="1" si="16"/>
        <v>44</v>
      </c>
      <c r="K34" s="32" t="s">
        <v>35</v>
      </c>
      <c r="L34" s="4" t="s">
        <v>38</v>
      </c>
      <c r="M34" s="29">
        <f t="shared" si="9"/>
        <v>3000</v>
      </c>
      <c r="N34" s="15">
        <v>2222.2222222222222</v>
      </c>
      <c r="O34" s="12" t="s">
        <v>132</v>
      </c>
      <c r="P34" s="11" t="s">
        <v>133</v>
      </c>
      <c r="Q34" s="11" t="s">
        <v>130</v>
      </c>
      <c r="R34" s="11"/>
      <c r="S34" s="11">
        <v>2252283344</v>
      </c>
      <c r="T34" s="3" t="s">
        <v>36</v>
      </c>
      <c r="U34" s="3" t="s">
        <v>37</v>
      </c>
      <c r="V34" s="7">
        <f t="shared" si="13"/>
        <v>1.1574074074074074</v>
      </c>
      <c r="W34" s="7">
        <v>0</v>
      </c>
      <c r="X34" s="7">
        <f t="shared" si="14"/>
        <v>555.55555555555554</v>
      </c>
      <c r="Y34" s="11"/>
      <c r="Z34" s="7">
        <f t="shared" si="30"/>
        <v>222.22222222222223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4">
        <v>0</v>
      </c>
      <c r="AG34" s="4">
        <v>0</v>
      </c>
      <c r="AH34" s="91">
        <f t="shared" si="7"/>
        <v>0</v>
      </c>
      <c r="AI34" s="10">
        <f t="shared" si="8"/>
        <v>55.555555555555557</v>
      </c>
      <c r="AJ34" s="10">
        <f t="shared" ca="1" si="10"/>
        <v>0</v>
      </c>
      <c r="AK34" s="13">
        <f t="shared" si="31"/>
        <v>185.18518518518519</v>
      </c>
      <c r="AL34" s="11"/>
      <c r="AM34" s="11"/>
    </row>
    <row r="35" spans="1:39" x14ac:dyDescent="0.45">
      <c r="A35" s="77" t="s">
        <v>102</v>
      </c>
      <c r="B35" s="23" t="s">
        <v>162</v>
      </c>
      <c r="C35" s="28" t="s">
        <v>119</v>
      </c>
      <c r="D35" s="26" t="s">
        <v>141</v>
      </c>
      <c r="E35" s="21" t="s">
        <v>140</v>
      </c>
      <c r="F35" s="5">
        <v>46113</v>
      </c>
      <c r="G35" s="14">
        <f t="shared" si="15"/>
        <v>46478</v>
      </c>
      <c r="H35" s="6">
        <f t="shared" ca="1" si="12"/>
        <v>0</v>
      </c>
      <c r="I35" s="5">
        <v>38245</v>
      </c>
      <c r="J35" s="3">
        <f t="shared" ca="1" si="16"/>
        <v>21</v>
      </c>
      <c r="K35" s="32" t="s">
        <v>38</v>
      </c>
      <c r="L35" s="4" t="s">
        <v>38</v>
      </c>
      <c r="M35" s="29">
        <f t="shared" si="9"/>
        <v>2500.1999999999998</v>
      </c>
      <c r="N35" s="15">
        <v>1852</v>
      </c>
      <c r="O35" s="12" t="s">
        <v>137</v>
      </c>
      <c r="P35" s="11" t="s">
        <v>136</v>
      </c>
      <c r="Q35" s="11" t="s">
        <v>130</v>
      </c>
      <c r="R35" s="11"/>
      <c r="S35" s="11">
        <v>2400449498</v>
      </c>
      <c r="T35" s="3" t="s">
        <v>36</v>
      </c>
      <c r="U35" s="3" t="s">
        <v>37</v>
      </c>
      <c r="V35" s="7">
        <f t="shared" si="13"/>
        <v>0.96458333333333335</v>
      </c>
      <c r="W35" s="7">
        <v>0</v>
      </c>
      <c r="X35" s="7">
        <f t="shared" si="14"/>
        <v>463</v>
      </c>
      <c r="Y35" s="11"/>
      <c r="Z35" s="7">
        <f t="shared" si="30"/>
        <v>185.20000000000002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4">
        <v>0</v>
      </c>
      <c r="AG35" s="4">
        <v>0</v>
      </c>
      <c r="AH35" s="91">
        <f t="shared" si="7"/>
        <v>0</v>
      </c>
      <c r="AI35" s="10">
        <f t="shared" si="8"/>
        <v>46.300000000000004</v>
      </c>
      <c r="AJ35" s="10">
        <f t="shared" ca="1" si="10"/>
        <v>0</v>
      </c>
      <c r="AK35" s="13">
        <f t="shared" si="31"/>
        <v>154.33333333333334</v>
      </c>
      <c r="AL35" s="11"/>
      <c r="AM35" s="11"/>
    </row>
    <row r="36" spans="1:39" x14ac:dyDescent="0.45">
      <c r="A36" s="77" t="s">
        <v>103</v>
      </c>
      <c r="B36" s="23" t="s">
        <v>163</v>
      </c>
      <c r="C36" s="11" t="s">
        <v>119</v>
      </c>
      <c r="D36" s="26" t="s">
        <v>141</v>
      </c>
      <c r="E36" s="21" t="s">
        <v>140</v>
      </c>
      <c r="F36" s="5">
        <v>46113</v>
      </c>
      <c r="G36" s="14">
        <f t="shared" si="15"/>
        <v>46478</v>
      </c>
      <c r="H36" s="6">
        <f t="shared" ca="1" si="12"/>
        <v>0</v>
      </c>
      <c r="I36" s="5">
        <v>35220</v>
      </c>
      <c r="J36" s="3">
        <f t="shared" ca="1" si="16"/>
        <v>29</v>
      </c>
      <c r="K36" s="32" t="s">
        <v>38</v>
      </c>
      <c r="L36" s="4" t="s">
        <v>38</v>
      </c>
      <c r="M36" s="29">
        <f t="shared" si="9"/>
        <v>2500.1999999999998</v>
      </c>
      <c r="N36" s="15">
        <v>1852</v>
      </c>
      <c r="O36" s="12" t="s">
        <v>164</v>
      </c>
      <c r="P36" s="11" t="s">
        <v>165</v>
      </c>
      <c r="Q36" s="11" t="s">
        <v>130</v>
      </c>
      <c r="R36" s="11"/>
      <c r="S36" s="11">
        <v>2169463185</v>
      </c>
      <c r="T36" s="3" t="s">
        <v>36</v>
      </c>
      <c r="U36" s="3" t="s">
        <v>37</v>
      </c>
      <c r="V36" s="7">
        <f t="shared" si="13"/>
        <v>0.96458333333333335</v>
      </c>
      <c r="W36" s="7">
        <v>0</v>
      </c>
      <c r="X36" s="7">
        <f t="shared" si="14"/>
        <v>463</v>
      </c>
      <c r="Y36" s="11"/>
      <c r="Z36" s="7">
        <f t="shared" si="30"/>
        <v>185.20000000000002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4">
        <v>0</v>
      </c>
      <c r="AG36" s="4">
        <v>0</v>
      </c>
      <c r="AH36" s="91">
        <f t="shared" si="7"/>
        <v>0</v>
      </c>
      <c r="AI36" s="10">
        <f t="shared" si="8"/>
        <v>46.300000000000004</v>
      </c>
      <c r="AJ36" s="10">
        <f t="shared" ca="1" si="10"/>
        <v>0</v>
      </c>
      <c r="AK36" s="13">
        <f t="shared" si="31"/>
        <v>154.33333333333334</v>
      </c>
      <c r="AL36" s="11"/>
      <c r="AM36" s="11"/>
    </row>
    <row r="37" spans="1:39" x14ac:dyDescent="0.45">
      <c r="A37" s="77" t="s">
        <v>161</v>
      </c>
      <c r="B37" s="23" t="s">
        <v>167</v>
      </c>
      <c r="C37" s="11" t="s">
        <v>119</v>
      </c>
      <c r="D37" s="26" t="s">
        <v>168</v>
      </c>
      <c r="E37" s="21" t="s">
        <v>140</v>
      </c>
      <c r="F37" s="5">
        <v>46110</v>
      </c>
      <c r="G37" s="14">
        <f t="shared" si="15"/>
        <v>46475</v>
      </c>
      <c r="H37" s="6">
        <f t="shared" ca="1" si="12"/>
        <v>0</v>
      </c>
      <c r="I37" s="5">
        <v>35591</v>
      </c>
      <c r="J37" s="3">
        <f t="shared" ca="1" si="16"/>
        <v>28</v>
      </c>
      <c r="K37" s="32" t="s">
        <v>38</v>
      </c>
      <c r="L37" s="4" t="s">
        <v>38</v>
      </c>
      <c r="M37" s="29">
        <f t="shared" si="9"/>
        <v>2500.1999999999998</v>
      </c>
      <c r="N37" s="15">
        <v>1852</v>
      </c>
      <c r="O37" s="12" t="s">
        <v>70</v>
      </c>
      <c r="P37" s="11" t="s">
        <v>129</v>
      </c>
      <c r="Q37" s="11" t="s">
        <v>131</v>
      </c>
      <c r="R37" s="11"/>
      <c r="S37" s="11">
        <v>2544955715</v>
      </c>
      <c r="T37" s="3" t="s">
        <v>36</v>
      </c>
      <c r="U37" s="3" t="s">
        <v>37</v>
      </c>
      <c r="V37" s="7">
        <f t="shared" si="13"/>
        <v>0.96458333333333335</v>
      </c>
      <c r="W37" s="7"/>
      <c r="X37" s="7">
        <f t="shared" si="14"/>
        <v>463</v>
      </c>
      <c r="Y37" s="11"/>
      <c r="Z37" s="7">
        <f t="shared" si="30"/>
        <v>185.20000000000002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4">
        <v>0</v>
      </c>
      <c r="AG37" s="4">
        <v>0</v>
      </c>
      <c r="AH37" s="91">
        <f t="shared" ref="AH37" si="32">N37*AG37</f>
        <v>0</v>
      </c>
      <c r="AI37" s="10">
        <f t="shared" ref="AI37" si="33">(N37+X37)*0.02</f>
        <v>46.300000000000004</v>
      </c>
      <c r="AJ37" s="10">
        <f t="shared" ref="AJ37" ca="1" si="34">N37/30*H37</f>
        <v>0</v>
      </c>
      <c r="AK37" s="13">
        <f t="shared" ref="AK37" si="35">N37/30*2.5</f>
        <v>154.33333333333334</v>
      </c>
      <c r="AL37" s="11"/>
      <c r="AM37" s="11"/>
    </row>
    <row r="38" spans="1:39" ht="18.75" thickBot="1" x14ac:dyDescent="0.5">
      <c r="A38" s="55"/>
      <c r="D38" s="56"/>
      <c r="E38" s="57"/>
      <c r="F38" s="58"/>
      <c r="G38" s="17"/>
      <c r="H38" s="59"/>
      <c r="I38" s="58"/>
      <c r="J38" s="1"/>
      <c r="K38" s="60"/>
      <c r="L38" s="61"/>
      <c r="M38" s="62"/>
      <c r="N38" s="63"/>
      <c r="T38" s="1"/>
      <c r="U38" s="1"/>
      <c r="V38" s="64"/>
      <c r="W38" s="64"/>
      <c r="X38" s="64"/>
      <c r="Z38" s="64"/>
      <c r="AA38" s="64"/>
      <c r="AB38" s="64"/>
      <c r="AC38" s="64"/>
      <c r="AD38" s="64"/>
      <c r="AE38" s="64"/>
      <c r="AF38" s="1"/>
      <c r="AG38" s="1"/>
      <c r="AH38" s="65"/>
      <c r="AI38" s="66"/>
      <c r="AJ38" s="66"/>
      <c r="AK38" s="67"/>
    </row>
    <row r="39" spans="1:39" ht="18.75" thickBot="1" x14ac:dyDescent="0.5">
      <c r="A39" s="75" t="s">
        <v>175</v>
      </c>
      <c r="M39" s="76">
        <f>SUM(M4:M37)</f>
        <v>186999.85000000003</v>
      </c>
    </row>
  </sheetData>
  <autoFilter ref="A3:Q37" xr:uid="{00000000-0001-0000-0000-000000000000}"/>
  <mergeCells count="4">
    <mergeCell ref="AI2:AM2"/>
    <mergeCell ref="O2:S2"/>
    <mergeCell ref="T2:U2"/>
    <mergeCell ref="V2:AF2"/>
  </mergeCells>
  <phoneticPr fontId="4" type="noConversion"/>
  <conditionalFormatting sqref="A2:O2 A3:Q3 A4:F4 A5:B5 V6:AK6 AL6:AM7 A6:A38 N11">
    <cfRule type="containsText" dxfId="4" priority="9" operator="containsText" text="FALSE">
      <formula>NOT(ISERROR(SEARCH("FALSE",A2)))</formula>
    </cfRule>
  </conditionalFormatting>
  <conditionalFormatting sqref="P8:P13">
    <cfRule type="containsText" dxfId="3" priority="2" operator="containsText" text="FALSE">
      <formula>NOT(ISERROR(SEARCH("FALSE",P8)))</formula>
    </cfRule>
  </conditionalFormatting>
  <conditionalFormatting sqref="P15">
    <cfRule type="containsText" dxfId="2" priority="1" operator="containsText" text="FALSE">
      <formula>NOT(ISERROR(SEARCH("FALSE",P15)))</formula>
    </cfRule>
  </conditionalFormatting>
  <conditionalFormatting sqref="P1:AM1 V2 AG2:AI2 R3:AM4 T5:AM5 B5:F7 H4:P7 R5:S7 T6:U7 V7:Y7 K8 H8:J9 L8:M9 B8:B25 C8:C34 D8:F38 T8:X38 H10:M10 H11:J38 L11:M38 Z7:AK38">
    <cfRule type="containsText" dxfId="1" priority="3" operator="containsText" text="FALSE">
      <formula>NOT(ISERROR(SEARCH("FALSE",B1)))</formula>
    </cfRule>
  </conditionalFormatting>
  <conditionalFormatting sqref="T2">
    <cfRule type="containsText" dxfId="0" priority="10" operator="containsText" text="FALSE">
      <formula>NOT(ISERROR(SEARCH("FALSE",T2)))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2628-423A-43E0-91C4-5C15D0C16A3B}">
  <dimension ref="A3:I44"/>
  <sheetViews>
    <sheetView showGridLines="0" workbookViewId="0">
      <selection activeCell="K13" sqref="K13"/>
    </sheetView>
  </sheetViews>
  <sheetFormatPr defaultColWidth="8.85546875" defaultRowHeight="15" x14ac:dyDescent="0.25"/>
  <cols>
    <col min="1" max="1" width="7.140625" style="31" bestFit="1" customWidth="1"/>
    <col min="2" max="2" width="25.28515625" style="35" bestFit="1" customWidth="1"/>
    <col min="3" max="3" width="6.7109375" style="33" bestFit="1" customWidth="1"/>
    <col min="4" max="4" width="22.140625" style="31" bestFit="1" customWidth="1"/>
    <col min="5" max="5" width="13.28515625" style="31" bestFit="1" customWidth="1"/>
    <col min="6" max="6" width="8" style="31" bestFit="1" customWidth="1"/>
    <col min="7" max="7" width="14.42578125" style="31" bestFit="1" customWidth="1"/>
    <col min="8" max="8" width="16.140625" style="31" bestFit="1" customWidth="1"/>
    <col min="9" max="9" width="8.42578125" style="31" bestFit="1" customWidth="1"/>
    <col min="10" max="16384" width="8.85546875" style="42"/>
  </cols>
  <sheetData>
    <row r="3" spans="1:9" x14ac:dyDescent="0.25">
      <c r="D3" s="88" t="s">
        <v>153</v>
      </c>
      <c r="E3" s="88"/>
      <c r="F3" s="88"/>
    </row>
    <row r="4" spans="1:9" x14ac:dyDescent="0.25">
      <c r="D4" s="88"/>
      <c r="E4" s="88"/>
      <c r="F4" s="88"/>
    </row>
    <row r="5" spans="1:9" x14ac:dyDescent="0.25">
      <c r="D5" s="88"/>
      <c r="E5" s="88"/>
      <c r="F5" s="88"/>
    </row>
    <row r="7" spans="1:9" s="43" customFormat="1" x14ac:dyDescent="0.35">
      <c r="A7" s="38" t="s">
        <v>154</v>
      </c>
      <c r="B7" s="39" t="s">
        <v>146</v>
      </c>
      <c r="C7" s="40" t="s">
        <v>16</v>
      </c>
      <c r="D7" s="41" t="s">
        <v>147</v>
      </c>
      <c r="E7" s="41" t="s">
        <v>148</v>
      </c>
      <c r="F7" s="39" t="s">
        <v>149</v>
      </c>
      <c r="G7" s="41" t="s">
        <v>150</v>
      </c>
      <c r="H7" s="41" t="s">
        <v>151</v>
      </c>
      <c r="I7" s="39" t="s">
        <v>152</v>
      </c>
    </row>
    <row r="8" spans="1:9" ht="18" x14ac:dyDescent="0.45">
      <c r="A8" s="37" t="str">
        <f>employee_master1!A4</f>
        <v>MJ-001</v>
      </c>
      <c r="B8" s="36" t="str">
        <f>employee_master1!B4</f>
        <v>KHALID FOUAD</v>
      </c>
      <c r="C8" s="52">
        <f>employee_master1!N4</f>
        <v>11851.85185185185</v>
      </c>
      <c r="D8" s="32">
        <f ca="1">IF(TODAY()-employee_master1!F4&gt;=365,21,0)</f>
        <v>0</v>
      </c>
      <c r="E8" s="32"/>
      <c r="F8" s="34">
        <f>C8/30</f>
        <v>395.06172839506166</v>
      </c>
      <c r="G8" s="32">
        <f ca="1">D8</f>
        <v>0</v>
      </c>
      <c r="H8" s="32">
        <f ca="1">G8-E8</f>
        <v>0</v>
      </c>
      <c r="I8" s="52">
        <f ca="1">F8*H8</f>
        <v>0</v>
      </c>
    </row>
    <row r="9" spans="1:9" ht="18" x14ac:dyDescent="0.45">
      <c r="A9" s="37" t="str">
        <f>employee_master1!A5</f>
        <v>MJ-002</v>
      </c>
      <c r="B9" s="36" t="str">
        <f>employee_master1!B5</f>
        <v>SABRI OMER</v>
      </c>
      <c r="C9" s="52">
        <f>employee_master1!N5</f>
        <v>10370</v>
      </c>
      <c r="D9" s="32">
        <f ca="1">IF(TODAY()-employee_master1!F5&gt;=365,21,0)</f>
        <v>21</v>
      </c>
      <c r="E9" s="32"/>
      <c r="F9" s="34">
        <f t="shared" ref="F9:F41" si="0">C9/30</f>
        <v>345.66666666666669</v>
      </c>
      <c r="G9" s="32">
        <f ca="1">D9</f>
        <v>21</v>
      </c>
      <c r="H9" s="32">
        <f ca="1">G9-E9</f>
        <v>21</v>
      </c>
      <c r="I9" s="52">
        <f t="shared" ref="I9:I41" ca="1" si="1">F9*H9</f>
        <v>7259</v>
      </c>
    </row>
    <row r="10" spans="1:9" ht="18" x14ac:dyDescent="0.45">
      <c r="A10" s="37" t="str">
        <f>employee_master1!A6</f>
        <v>MJ-003</v>
      </c>
      <c r="B10" s="36" t="str">
        <f>employee_master1!B6</f>
        <v>MOHAMMED ALARABI</v>
      </c>
      <c r="C10" s="52">
        <f>employee_master1!N6</f>
        <v>10370</v>
      </c>
      <c r="D10" s="32">
        <f ca="1">IF(TODAY()-employee_master1!F6&gt;=365,21,0)</f>
        <v>21</v>
      </c>
      <c r="E10" s="32"/>
      <c r="F10" s="34">
        <f t="shared" si="0"/>
        <v>345.66666666666669</v>
      </c>
      <c r="G10" s="32">
        <f t="shared" ref="G10:G44" ca="1" si="2">D10</f>
        <v>21</v>
      </c>
      <c r="H10" s="32">
        <f t="shared" ref="H10:H44" ca="1" si="3">G10-E10</f>
        <v>21</v>
      </c>
      <c r="I10" s="52">
        <f t="shared" ca="1" si="1"/>
        <v>7259</v>
      </c>
    </row>
    <row r="11" spans="1:9" ht="18" x14ac:dyDescent="0.45">
      <c r="A11" s="37" t="str">
        <f>employee_master1!A7</f>
        <v>MJ-004</v>
      </c>
      <c r="B11" s="36" t="str">
        <f>employee_master1!B7</f>
        <v>AHMED ALSULTAN</v>
      </c>
      <c r="C11" s="52">
        <f>employee_master1!N7</f>
        <v>10370</v>
      </c>
      <c r="D11" s="32">
        <f ca="1">IF(TODAY()-employee_master1!F7&gt;=365,21,0)</f>
        <v>0</v>
      </c>
      <c r="E11" s="32"/>
      <c r="F11" s="34">
        <f t="shared" si="0"/>
        <v>345.66666666666669</v>
      </c>
      <c r="G11" s="32">
        <f t="shared" ca="1" si="2"/>
        <v>0</v>
      </c>
      <c r="H11" s="32">
        <f t="shared" ca="1" si="3"/>
        <v>0</v>
      </c>
      <c r="I11" s="52">
        <f t="shared" ca="1" si="1"/>
        <v>0</v>
      </c>
    </row>
    <row r="12" spans="1:9" ht="18" x14ac:dyDescent="0.45">
      <c r="A12" s="37" t="str">
        <f>employee_master1!A8</f>
        <v>MJ-005</v>
      </c>
      <c r="B12" s="36" t="str">
        <f>employee_master1!B8</f>
        <v>HASSAN SALAH MOHAMMED</v>
      </c>
      <c r="C12" s="52">
        <f>employee_master1!N8</f>
        <v>2222.2222222222222</v>
      </c>
      <c r="D12" s="32">
        <f ca="1">IF(TODAY()-employee_master1!F8&gt;=365,21,0)</f>
        <v>21</v>
      </c>
      <c r="E12" s="32"/>
      <c r="F12" s="34">
        <f t="shared" si="0"/>
        <v>74.074074074074076</v>
      </c>
      <c r="G12" s="32">
        <f t="shared" ca="1" si="2"/>
        <v>21</v>
      </c>
      <c r="H12" s="32">
        <f t="shared" ca="1" si="3"/>
        <v>21</v>
      </c>
      <c r="I12" s="52">
        <f t="shared" ca="1" si="1"/>
        <v>1555.5555555555557</v>
      </c>
    </row>
    <row r="13" spans="1:9" ht="18" x14ac:dyDescent="0.45">
      <c r="A13" s="37" t="str">
        <f>employee_master1!A9</f>
        <v>MJ-006</v>
      </c>
      <c r="B13" s="36" t="str">
        <f>employee_master1!B9</f>
        <v>OMER AWADALGED ALZAN</v>
      </c>
      <c r="C13" s="52">
        <f>employee_master1!N9</f>
        <v>2592.5925925925926</v>
      </c>
      <c r="D13" s="32">
        <f ca="1">IF(TODAY()-employee_master1!F9&gt;=365,21,0)</f>
        <v>0</v>
      </c>
      <c r="E13" s="32"/>
      <c r="F13" s="34">
        <f t="shared" si="0"/>
        <v>86.41975308641976</v>
      </c>
      <c r="G13" s="32">
        <f t="shared" ca="1" si="2"/>
        <v>0</v>
      </c>
      <c r="H13" s="32">
        <f t="shared" ca="1" si="3"/>
        <v>0</v>
      </c>
      <c r="I13" s="52">
        <f t="shared" ca="1" si="1"/>
        <v>0</v>
      </c>
    </row>
    <row r="14" spans="1:9" ht="18" x14ac:dyDescent="0.45">
      <c r="A14" s="37" t="str">
        <f>employee_master1!A10</f>
        <v>MJ-007</v>
      </c>
      <c r="B14" s="36" t="str">
        <f>employee_master1!B10</f>
        <v>MOHAMMAD SAIED</v>
      </c>
      <c r="C14" s="52">
        <f>employee_master1!N10</f>
        <v>2592.5925925925926</v>
      </c>
      <c r="D14" s="32">
        <f ca="1">IF(TODAY()-employee_master1!F10&gt;=365,21,0)</f>
        <v>0</v>
      </c>
      <c r="E14" s="32"/>
      <c r="F14" s="34">
        <f t="shared" si="0"/>
        <v>86.41975308641976</v>
      </c>
      <c r="G14" s="32">
        <f t="shared" ca="1" si="2"/>
        <v>0</v>
      </c>
      <c r="H14" s="32">
        <f t="shared" ca="1" si="3"/>
        <v>0</v>
      </c>
      <c r="I14" s="52">
        <f t="shared" ca="1" si="1"/>
        <v>0</v>
      </c>
    </row>
    <row r="15" spans="1:9" ht="18" x14ac:dyDescent="0.45">
      <c r="A15" s="37" t="str">
        <f>employee_master1!A11</f>
        <v>MJ-008</v>
      </c>
      <c r="B15" s="36" t="str">
        <f>employee_master1!B11</f>
        <v>HANI MOHAMMED</v>
      </c>
      <c r="C15" s="52">
        <f>employee_master1!N11</f>
        <v>2962.9629629629626</v>
      </c>
      <c r="D15" s="32">
        <f ca="1">IF(TODAY()-employee_master1!F11&gt;=365,21,0)</f>
        <v>0</v>
      </c>
      <c r="E15" s="32"/>
      <c r="F15" s="34">
        <f t="shared" si="0"/>
        <v>98.765432098765416</v>
      </c>
      <c r="G15" s="32">
        <f t="shared" ca="1" si="2"/>
        <v>0</v>
      </c>
      <c r="H15" s="32">
        <f t="shared" ca="1" si="3"/>
        <v>0</v>
      </c>
      <c r="I15" s="52">
        <f t="shared" ca="1" si="1"/>
        <v>0</v>
      </c>
    </row>
    <row r="16" spans="1:9" ht="18" x14ac:dyDescent="0.45">
      <c r="A16" s="37" t="str">
        <f>employee_master1!A12</f>
        <v>MJ-009</v>
      </c>
      <c r="B16" s="36" t="str">
        <f>employee_master1!B12</f>
        <v>LOAY MAHJUB ELSHAIKH</v>
      </c>
      <c r="C16" s="52">
        <f>employee_master1!N12</f>
        <v>6296.2962962962956</v>
      </c>
      <c r="D16" s="32">
        <f ca="1">IF(TODAY()-employee_master1!F12&gt;=365,21,0)</f>
        <v>0</v>
      </c>
      <c r="E16" s="32"/>
      <c r="F16" s="34">
        <f t="shared" si="0"/>
        <v>209.87654320987653</v>
      </c>
      <c r="G16" s="32">
        <f t="shared" ca="1" si="2"/>
        <v>0</v>
      </c>
      <c r="H16" s="32">
        <f t="shared" ca="1" si="3"/>
        <v>0</v>
      </c>
      <c r="I16" s="52">
        <f t="shared" ca="1" si="1"/>
        <v>0</v>
      </c>
    </row>
    <row r="17" spans="1:9" ht="18" x14ac:dyDescent="0.45">
      <c r="A17" s="37" t="str">
        <f>employee_master1!A13</f>
        <v>MJ-010</v>
      </c>
      <c r="B17" s="36" t="str">
        <f>employee_master1!B13</f>
        <v xml:space="preserve">Mohamad Yousef </v>
      </c>
      <c r="C17" s="52">
        <f>employee_master1!N13</f>
        <v>18518.518518518518</v>
      </c>
      <c r="D17" s="32">
        <f ca="1">IF(TODAY()-employee_master1!F13&gt;=365,21,0)</f>
        <v>0</v>
      </c>
      <c r="E17" s="32"/>
      <c r="F17" s="34">
        <f t="shared" si="0"/>
        <v>617.28395061728395</v>
      </c>
      <c r="G17" s="32">
        <f t="shared" ca="1" si="2"/>
        <v>0</v>
      </c>
      <c r="H17" s="32">
        <f t="shared" ca="1" si="3"/>
        <v>0</v>
      </c>
      <c r="I17" s="52">
        <f t="shared" ca="1" si="1"/>
        <v>0</v>
      </c>
    </row>
    <row r="18" spans="1:9" ht="18" x14ac:dyDescent="0.45">
      <c r="A18" s="37" t="str">
        <f>employee_master1!A14</f>
        <v>MJ-011</v>
      </c>
      <c r="B18" s="36" t="str">
        <f>employee_master1!B14</f>
        <v>MOHSIN JAMILKHALID JAMIL</v>
      </c>
      <c r="C18" s="52">
        <f>employee_master1!N14</f>
        <v>5555.5555555555547</v>
      </c>
      <c r="D18" s="32">
        <f ca="1">IF(TODAY()-employee_master1!F14&gt;=365,21,0)</f>
        <v>0</v>
      </c>
      <c r="E18" s="32"/>
      <c r="F18" s="34">
        <f t="shared" si="0"/>
        <v>185.18518518518516</v>
      </c>
      <c r="G18" s="32">
        <f t="shared" ca="1" si="2"/>
        <v>0</v>
      </c>
      <c r="H18" s="32">
        <f t="shared" ca="1" si="3"/>
        <v>0</v>
      </c>
      <c r="I18" s="52">
        <f t="shared" ca="1" si="1"/>
        <v>0</v>
      </c>
    </row>
    <row r="19" spans="1:9" ht="18" x14ac:dyDescent="0.45">
      <c r="A19" s="37" t="str">
        <f>employee_master1!A15</f>
        <v>MJ-012</v>
      </c>
      <c r="B19" s="36" t="str">
        <f>employee_master1!B15</f>
        <v>MAZIN OSMAN MOHAMED</v>
      </c>
      <c r="C19" s="52">
        <f>employee_master1!N15</f>
        <v>4444.4444444444443</v>
      </c>
      <c r="D19" s="32">
        <f ca="1">IF(TODAY()-employee_master1!F15&gt;=365,21,0)</f>
        <v>0</v>
      </c>
      <c r="E19" s="32"/>
      <c r="F19" s="34">
        <f t="shared" si="0"/>
        <v>148.14814814814815</v>
      </c>
      <c r="G19" s="32">
        <f t="shared" ca="1" si="2"/>
        <v>0</v>
      </c>
      <c r="H19" s="32">
        <f t="shared" ca="1" si="3"/>
        <v>0</v>
      </c>
      <c r="I19" s="52">
        <f t="shared" ca="1" si="1"/>
        <v>0</v>
      </c>
    </row>
    <row r="20" spans="1:9" ht="18" x14ac:dyDescent="0.45">
      <c r="A20" s="37" t="str">
        <f>employee_master1!A16</f>
        <v>MJ-013</v>
      </c>
      <c r="B20" s="36" t="str">
        <f>employee_master1!B16</f>
        <v>ALAAULDEEN ARABI</v>
      </c>
      <c r="C20" s="52">
        <f>employee_master1!N16</f>
        <v>3333.333333333333</v>
      </c>
      <c r="D20" s="32">
        <f ca="1">IF(TODAY()-employee_master1!F16&gt;=365,21,0)</f>
        <v>0</v>
      </c>
      <c r="E20" s="32"/>
      <c r="F20" s="34">
        <f t="shared" si="0"/>
        <v>111.1111111111111</v>
      </c>
      <c r="G20" s="32">
        <f t="shared" ca="1" si="2"/>
        <v>0</v>
      </c>
      <c r="H20" s="32">
        <f t="shared" ca="1" si="3"/>
        <v>0</v>
      </c>
      <c r="I20" s="52">
        <f t="shared" ca="1" si="1"/>
        <v>0</v>
      </c>
    </row>
    <row r="21" spans="1:9" ht="18" x14ac:dyDescent="0.45">
      <c r="A21" s="37" t="str">
        <f>employee_master1!A17</f>
        <v>MJ-014</v>
      </c>
      <c r="B21" s="36" t="str">
        <f>employee_master1!B17</f>
        <v>MUHAND MOHAMMED</v>
      </c>
      <c r="C21" s="52">
        <f>employee_master1!N17</f>
        <v>1851.8518518518517</v>
      </c>
      <c r="D21" s="32">
        <f ca="1">IF(TODAY()-employee_master1!F17&gt;=365,21,0)</f>
        <v>0</v>
      </c>
      <c r="E21" s="32"/>
      <c r="F21" s="34">
        <f t="shared" si="0"/>
        <v>61.728395061728392</v>
      </c>
      <c r="G21" s="32">
        <f t="shared" ca="1" si="2"/>
        <v>0</v>
      </c>
      <c r="H21" s="32">
        <f t="shared" ca="1" si="3"/>
        <v>0</v>
      </c>
      <c r="I21" s="52">
        <f t="shared" ca="1" si="1"/>
        <v>0</v>
      </c>
    </row>
    <row r="22" spans="1:9" ht="18" x14ac:dyDescent="0.45">
      <c r="A22" s="37" t="str">
        <f>employee_master1!A18</f>
        <v>MJ-015</v>
      </c>
      <c r="B22" s="36" t="str">
        <f>employee_master1!B18</f>
        <v>MUZAMMAL MAQSOOD</v>
      </c>
      <c r="C22" s="52">
        <f>employee_master1!N18</f>
        <v>2592.5925925925926</v>
      </c>
      <c r="D22" s="32">
        <f ca="1">IF(TODAY()-employee_master1!F18&gt;=365,21,0)</f>
        <v>0</v>
      </c>
      <c r="E22" s="32"/>
      <c r="F22" s="34">
        <f t="shared" si="0"/>
        <v>86.41975308641976</v>
      </c>
      <c r="G22" s="32">
        <f t="shared" ca="1" si="2"/>
        <v>0</v>
      </c>
      <c r="H22" s="32">
        <f t="shared" ca="1" si="3"/>
        <v>0</v>
      </c>
      <c r="I22" s="52">
        <f t="shared" ca="1" si="1"/>
        <v>0</v>
      </c>
    </row>
    <row r="23" spans="1:9" ht="18" x14ac:dyDescent="0.45">
      <c r="A23" s="37" t="str">
        <f>employee_master1!A19</f>
        <v>MJ-016</v>
      </c>
      <c r="B23" s="36" t="str">
        <f>employee_master1!B19</f>
        <v>REFAT MOHAMED AHMED</v>
      </c>
      <c r="C23" s="52">
        <f>employee_master1!N19</f>
        <v>2592.5925925925926</v>
      </c>
      <c r="D23" s="32">
        <f ca="1">IF(TODAY()-employee_master1!F19&gt;=365,21,0)</f>
        <v>0</v>
      </c>
      <c r="E23" s="32"/>
      <c r="F23" s="34">
        <f t="shared" si="0"/>
        <v>86.41975308641976</v>
      </c>
      <c r="G23" s="32">
        <f t="shared" ca="1" si="2"/>
        <v>0</v>
      </c>
      <c r="H23" s="32">
        <f t="shared" ca="1" si="3"/>
        <v>0</v>
      </c>
      <c r="I23" s="52">
        <f t="shared" ca="1" si="1"/>
        <v>0</v>
      </c>
    </row>
    <row r="24" spans="1:9" ht="18" x14ac:dyDescent="0.45">
      <c r="A24" s="37" t="str">
        <f>employee_master1!A20</f>
        <v>MJ-017</v>
      </c>
      <c r="B24" s="36" t="str">
        <f>employee_master1!B20</f>
        <v>KHALID ABDU QAYID GHALIB</v>
      </c>
      <c r="C24" s="52">
        <f>employee_master1!N20</f>
        <v>3703.7037037037035</v>
      </c>
      <c r="D24" s="32">
        <f ca="1">IF(TODAY()-employee_master1!F20&gt;=365,21,0)</f>
        <v>0</v>
      </c>
      <c r="E24" s="32"/>
      <c r="F24" s="34">
        <f t="shared" si="0"/>
        <v>123.45679012345678</v>
      </c>
      <c r="G24" s="32">
        <f t="shared" ca="1" si="2"/>
        <v>0</v>
      </c>
      <c r="H24" s="32">
        <f t="shared" ca="1" si="3"/>
        <v>0</v>
      </c>
      <c r="I24" s="52">
        <f t="shared" ca="1" si="1"/>
        <v>0</v>
      </c>
    </row>
    <row r="25" spans="1:9" ht="18" x14ac:dyDescent="0.45">
      <c r="A25" s="37" t="str">
        <f>employee_master1!A21</f>
        <v>MJ-018</v>
      </c>
      <c r="B25" s="36" t="str">
        <f>employee_master1!B21</f>
        <v>ISMAIL MOHAMED IBRAHIM</v>
      </c>
      <c r="C25" s="52">
        <f>employee_master1!N21</f>
        <v>2593</v>
      </c>
      <c r="D25" s="32">
        <f ca="1">IF(TODAY()-employee_master1!F21&gt;=365,21,0)</f>
        <v>0</v>
      </c>
      <c r="E25" s="32"/>
      <c r="F25" s="34">
        <f t="shared" si="0"/>
        <v>86.433333333333337</v>
      </c>
      <c r="G25" s="32">
        <f t="shared" ca="1" si="2"/>
        <v>0</v>
      </c>
      <c r="H25" s="32">
        <f t="shared" ca="1" si="3"/>
        <v>0</v>
      </c>
      <c r="I25" s="52">
        <f t="shared" ca="1" si="1"/>
        <v>0</v>
      </c>
    </row>
    <row r="26" spans="1:9" ht="18" x14ac:dyDescent="0.45">
      <c r="A26" s="37" t="str">
        <f>employee_master1!A22</f>
        <v>MJ-019</v>
      </c>
      <c r="B26" s="36" t="str">
        <f>employee_master1!B22</f>
        <v>BADR AHMED AHMED ALISHARAF</v>
      </c>
      <c r="C26" s="52">
        <f>employee_master1!N22</f>
        <v>2592.5925925925926</v>
      </c>
      <c r="D26" s="32">
        <f ca="1">IF(TODAY()-employee_master1!F22&gt;=365,21,0)</f>
        <v>0</v>
      </c>
      <c r="E26" s="32"/>
      <c r="F26" s="34">
        <f t="shared" si="0"/>
        <v>86.41975308641976</v>
      </c>
      <c r="G26" s="32">
        <f t="shared" ca="1" si="2"/>
        <v>0</v>
      </c>
      <c r="H26" s="32">
        <f t="shared" ca="1" si="3"/>
        <v>0</v>
      </c>
      <c r="I26" s="52">
        <f t="shared" ca="1" si="1"/>
        <v>0</v>
      </c>
    </row>
    <row r="27" spans="1:9" ht="18" x14ac:dyDescent="0.45">
      <c r="A27" s="37" t="str">
        <f>employee_master1!A23</f>
        <v>MJ-020</v>
      </c>
      <c r="B27" s="36" t="str">
        <f>employee_master1!B23</f>
        <v>KAMRUL MD JOYDAL</v>
      </c>
      <c r="C27" s="52">
        <f>employee_master1!N23</f>
        <v>1851.8518518518517</v>
      </c>
      <c r="D27" s="32">
        <f ca="1">IF(TODAY()-employee_master1!F23&gt;=365,21,0)</f>
        <v>0</v>
      </c>
      <c r="E27" s="32"/>
      <c r="F27" s="34">
        <f t="shared" si="0"/>
        <v>61.728395061728392</v>
      </c>
      <c r="G27" s="32">
        <f t="shared" ca="1" si="2"/>
        <v>0</v>
      </c>
      <c r="H27" s="32">
        <f t="shared" ca="1" si="3"/>
        <v>0</v>
      </c>
      <c r="I27" s="52">
        <f t="shared" ca="1" si="1"/>
        <v>0</v>
      </c>
    </row>
    <row r="28" spans="1:9" ht="18" x14ac:dyDescent="0.45">
      <c r="A28" s="37" t="str">
        <f>employee_master1!A24</f>
        <v>MJ-021</v>
      </c>
      <c r="B28" s="36" t="str">
        <f>employee_master1!B24</f>
        <v>RAIHADAHAMMAD</v>
      </c>
      <c r="C28" s="52">
        <f>employee_master1!N24</f>
        <v>1481.4814814814813</v>
      </c>
      <c r="D28" s="32">
        <f ca="1">IF(TODAY()-employee_master1!F24&gt;=365,21,0)</f>
        <v>0</v>
      </c>
      <c r="E28" s="32"/>
      <c r="F28" s="34">
        <f t="shared" si="0"/>
        <v>49.382716049382708</v>
      </c>
      <c r="G28" s="32">
        <f t="shared" ca="1" si="2"/>
        <v>0</v>
      </c>
      <c r="H28" s="32">
        <f t="shared" ca="1" si="3"/>
        <v>0</v>
      </c>
      <c r="I28" s="52">
        <f t="shared" ca="1" si="1"/>
        <v>0</v>
      </c>
    </row>
    <row r="29" spans="1:9" ht="18" x14ac:dyDescent="0.45">
      <c r="A29" s="37" t="str">
        <f>employee_master1!A25</f>
        <v>MJ-022</v>
      </c>
      <c r="B29" s="36" t="str">
        <f>employee_master1!B25</f>
        <v>ARIF SARKER</v>
      </c>
      <c r="C29" s="52">
        <f>employee_master1!N25</f>
        <v>1481.4814814814813</v>
      </c>
      <c r="D29" s="32">
        <f ca="1">IF(TODAY()-employee_master1!F25&gt;=365,21,0)</f>
        <v>0</v>
      </c>
      <c r="E29" s="32"/>
      <c r="F29" s="34">
        <f t="shared" si="0"/>
        <v>49.382716049382708</v>
      </c>
      <c r="G29" s="32">
        <f t="shared" ca="1" si="2"/>
        <v>0</v>
      </c>
      <c r="H29" s="32">
        <f t="shared" ca="1" si="3"/>
        <v>0</v>
      </c>
      <c r="I29" s="52">
        <f t="shared" ca="1" si="1"/>
        <v>0</v>
      </c>
    </row>
    <row r="30" spans="1:9" ht="18" x14ac:dyDescent="0.45">
      <c r="A30" s="37" t="str">
        <f>employee_master1!A26</f>
        <v>MJ-023</v>
      </c>
      <c r="B30" s="36" t="str">
        <f>employee_master1!B26</f>
        <v>MOHAMMED YAHYA THAPT</v>
      </c>
      <c r="C30" s="52">
        <f>employee_master1!N26</f>
        <v>2592.5925925925926</v>
      </c>
      <c r="D30" s="32">
        <f ca="1">IF(TODAY()-employee_master1!F26&gt;=365,21,0)</f>
        <v>0</v>
      </c>
      <c r="E30" s="32"/>
      <c r="F30" s="34">
        <f t="shared" si="0"/>
        <v>86.41975308641976</v>
      </c>
      <c r="G30" s="32">
        <f t="shared" ca="1" si="2"/>
        <v>0</v>
      </c>
      <c r="H30" s="32">
        <f t="shared" ca="1" si="3"/>
        <v>0</v>
      </c>
      <c r="I30" s="52">
        <f t="shared" ca="1" si="1"/>
        <v>0</v>
      </c>
    </row>
    <row r="31" spans="1:9" ht="18" x14ac:dyDescent="0.45">
      <c r="A31" s="37" t="str">
        <f>employee_master1!A27</f>
        <v>MJ-024</v>
      </c>
      <c r="B31" s="36" t="str">
        <f>employee_master1!B27</f>
        <v>MUHAMMAD SHAHBAZ HUSSAIN</v>
      </c>
      <c r="C31" s="52">
        <f>employee_master1!N27</f>
        <v>2222.2222222222222</v>
      </c>
      <c r="D31" s="32">
        <f ca="1">IF(TODAY()-employee_master1!F27&gt;=365,21,0)</f>
        <v>0</v>
      </c>
      <c r="E31" s="32"/>
      <c r="F31" s="34">
        <f t="shared" si="0"/>
        <v>74.074074074074076</v>
      </c>
      <c r="G31" s="32">
        <f t="shared" ca="1" si="2"/>
        <v>0</v>
      </c>
      <c r="H31" s="32">
        <f t="shared" ca="1" si="3"/>
        <v>0</v>
      </c>
      <c r="I31" s="52">
        <f t="shared" ca="1" si="1"/>
        <v>0</v>
      </c>
    </row>
    <row r="32" spans="1:9" ht="18" x14ac:dyDescent="0.45">
      <c r="A32" s="37" t="str">
        <f>employee_master1!A28</f>
        <v>MJ-025</v>
      </c>
      <c r="B32" s="36" t="str">
        <f>employee_master1!B28</f>
        <v>SHAHZAIB ALI SHABBIR AHMED</v>
      </c>
      <c r="C32" s="52">
        <f>employee_master1!N28</f>
        <v>2222.2222222222222</v>
      </c>
      <c r="D32" s="32">
        <f ca="1">IF(TODAY()-employee_master1!F28&gt;=365,21,0)</f>
        <v>0</v>
      </c>
      <c r="E32" s="32"/>
      <c r="F32" s="34">
        <f t="shared" si="0"/>
        <v>74.074074074074076</v>
      </c>
      <c r="G32" s="32">
        <f t="shared" ca="1" si="2"/>
        <v>0</v>
      </c>
      <c r="H32" s="32">
        <f t="shared" ca="1" si="3"/>
        <v>0</v>
      </c>
      <c r="I32" s="52">
        <f t="shared" ca="1" si="1"/>
        <v>0</v>
      </c>
    </row>
    <row r="33" spans="1:9" ht="18" x14ac:dyDescent="0.45">
      <c r="A33" s="37" t="str">
        <f>employee_master1!A29</f>
        <v>MJ-026</v>
      </c>
      <c r="B33" s="36" t="str">
        <f>employee_master1!B29</f>
        <v>SAQLAIN ABBAS LIAQAT HUSSAIN</v>
      </c>
      <c r="C33" s="52">
        <f>employee_master1!N29</f>
        <v>2222.2222222222222</v>
      </c>
      <c r="D33" s="32">
        <f ca="1">IF(TODAY()-employee_master1!F29&gt;=365,21,0)</f>
        <v>0</v>
      </c>
      <c r="E33" s="32"/>
      <c r="F33" s="34">
        <f t="shared" si="0"/>
        <v>74.074074074074076</v>
      </c>
      <c r="G33" s="32">
        <f t="shared" ca="1" si="2"/>
        <v>0</v>
      </c>
      <c r="H33" s="32">
        <f t="shared" ca="1" si="3"/>
        <v>0</v>
      </c>
      <c r="I33" s="52">
        <f t="shared" ca="1" si="1"/>
        <v>0</v>
      </c>
    </row>
    <row r="34" spans="1:9" ht="18" x14ac:dyDescent="0.45">
      <c r="A34" s="37" t="str">
        <f>employee_master1!A30</f>
        <v>MJ-027</v>
      </c>
      <c r="B34" s="36" t="str">
        <f>employee_master1!B30</f>
        <v>AKTER MATUBBER</v>
      </c>
      <c r="C34" s="52">
        <f>employee_master1!N30</f>
        <v>1852</v>
      </c>
      <c r="D34" s="32">
        <f ca="1">IF(TODAY()-employee_master1!F30&gt;=365,21,0)</f>
        <v>0</v>
      </c>
      <c r="E34" s="32"/>
      <c r="F34" s="34">
        <f t="shared" si="0"/>
        <v>61.733333333333334</v>
      </c>
      <c r="G34" s="32">
        <f t="shared" ca="1" si="2"/>
        <v>0</v>
      </c>
      <c r="H34" s="32">
        <f t="shared" ca="1" si="3"/>
        <v>0</v>
      </c>
      <c r="I34" s="52">
        <f t="shared" ca="1" si="1"/>
        <v>0</v>
      </c>
    </row>
    <row r="35" spans="1:9" ht="18" x14ac:dyDescent="0.45">
      <c r="A35" s="37" t="str">
        <f>employee_master1!A31</f>
        <v>MJ-028</v>
      </c>
      <c r="B35" s="36" t="str">
        <f>employee_master1!B31</f>
        <v>NASSAR THABIT ALIAL</v>
      </c>
      <c r="C35" s="52">
        <f>employee_master1!N31</f>
        <v>2592.5925925925926</v>
      </c>
      <c r="D35" s="32">
        <f ca="1">IF(TODAY()-employee_master1!F31&gt;=365,21,0)</f>
        <v>0</v>
      </c>
      <c r="E35" s="32"/>
      <c r="F35" s="34">
        <f t="shared" si="0"/>
        <v>86.41975308641976</v>
      </c>
      <c r="G35" s="32">
        <f t="shared" ca="1" si="2"/>
        <v>0</v>
      </c>
      <c r="H35" s="32">
        <f t="shared" ca="1" si="3"/>
        <v>0</v>
      </c>
      <c r="I35" s="52">
        <f t="shared" ca="1" si="1"/>
        <v>0</v>
      </c>
    </row>
    <row r="36" spans="1:9" ht="18" x14ac:dyDescent="0.45">
      <c r="A36" s="37" t="str">
        <f>employee_master1!A32</f>
        <v>MJ-029</v>
      </c>
      <c r="B36" s="36" t="str">
        <f>employee_master1!B32</f>
        <v>RAFAT MOHAMED AHMEDADAM</v>
      </c>
      <c r="C36" s="52">
        <f>employee_master1!N32</f>
        <v>2592.5925925925926</v>
      </c>
      <c r="D36" s="32">
        <f ca="1">IF(TODAY()-employee_master1!F32&gt;=365,21,0)</f>
        <v>0</v>
      </c>
      <c r="E36" s="32"/>
      <c r="F36" s="34">
        <f t="shared" si="0"/>
        <v>86.41975308641976</v>
      </c>
      <c r="G36" s="32">
        <f t="shared" ca="1" si="2"/>
        <v>0</v>
      </c>
      <c r="H36" s="32">
        <f t="shared" ca="1" si="3"/>
        <v>0</v>
      </c>
      <c r="I36" s="52">
        <f t="shared" ca="1" si="1"/>
        <v>0</v>
      </c>
    </row>
    <row r="37" spans="1:9" ht="18" x14ac:dyDescent="0.45">
      <c r="A37" s="37" t="str">
        <f>employee_master1!A33</f>
        <v>MJ-030</v>
      </c>
      <c r="B37" s="36" t="str">
        <f>employee_master1!B33</f>
        <v>NUMAN SHUBAYR KALAMIAH</v>
      </c>
      <c r="C37" s="52">
        <f>employee_master1!N33</f>
        <v>2222.2222222222222</v>
      </c>
      <c r="D37" s="32">
        <f ca="1">IF(TODAY()-employee_master1!F33&gt;=365,21,0)</f>
        <v>0</v>
      </c>
      <c r="E37" s="32"/>
      <c r="F37" s="34">
        <f t="shared" si="0"/>
        <v>74.074074074074076</v>
      </c>
      <c r="G37" s="32">
        <f t="shared" ca="1" si="2"/>
        <v>0</v>
      </c>
      <c r="H37" s="32">
        <f t="shared" ca="1" si="3"/>
        <v>0</v>
      </c>
      <c r="I37" s="52">
        <f t="shared" ca="1" si="1"/>
        <v>0</v>
      </c>
    </row>
    <row r="38" spans="1:9" ht="18" x14ac:dyDescent="0.45">
      <c r="A38" s="37" t="str">
        <f>employee_master1!A34</f>
        <v>MJ-031</v>
      </c>
      <c r="B38" s="36" t="str">
        <f>employee_master1!B34</f>
        <v>AMEEN ABDO MOHAMMED</v>
      </c>
      <c r="C38" s="52">
        <f>employee_master1!N34</f>
        <v>2222.2222222222222</v>
      </c>
      <c r="D38" s="32">
        <f ca="1">IF(TODAY()-employee_master1!F34&gt;=365,21,0)</f>
        <v>0</v>
      </c>
      <c r="E38" s="32"/>
      <c r="F38" s="34">
        <f t="shared" si="0"/>
        <v>74.074074074074076</v>
      </c>
      <c r="G38" s="32">
        <f t="shared" ca="1" si="2"/>
        <v>0</v>
      </c>
      <c r="H38" s="32">
        <f t="shared" ca="1" si="3"/>
        <v>0</v>
      </c>
      <c r="I38" s="52">
        <f t="shared" ca="1" si="1"/>
        <v>0</v>
      </c>
    </row>
    <row r="39" spans="1:9" ht="18" x14ac:dyDescent="0.45">
      <c r="A39" s="37" t="str">
        <f>employee_master1!A35</f>
        <v>MJ-032</v>
      </c>
      <c r="B39" s="36" t="str">
        <f>employee_master1!B35</f>
        <v>MOHAMMED NOOR ALAM</v>
      </c>
      <c r="C39" s="52">
        <f>employee_master1!N35</f>
        <v>1852</v>
      </c>
      <c r="D39" s="32">
        <f ca="1">IF(TODAY()-employee_master1!F35&gt;=365,21,0)</f>
        <v>0</v>
      </c>
      <c r="E39" s="32"/>
      <c r="F39" s="34">
        <f t="shared" si="0"/>
        <v>61.733333333333334</v>
      </c>
      <c r="G39" s="32">
        <f t="shared" ca="1" si="2"/>
        <v>0</v>
      </c>
      <c r="H39" s="32">
        <f t="shared" ca="1" si="3"/>
        <v>0</v>
      </c>
      <c r="I39" s="52">
        <f t="shared" ca="1" si="1"/>
        <v>0</v>
      </c>
    </row>
    <row r="40" spans="1:9" ht="18" x14ac:dyDescent="0.45">
      <c r="A40" s="37" t="str">
        <f>employee_master1!A36</f>
        <v>MJ-033</v>
      </c>
      <c r="B40" s="36" t="str">
        <f>employee_master1!B36</f>
        <v>MOHAMMED ALI ABAKAR</v>
      </c>
      <c r="C40" s="52">
        <f>employee_master1!N36</f>
        <v>1852</v>
      </c>
      <c r="D40" s="32">
        <f ca="1">IF(TODAY()-employee_master1!F36&gt;=365,21,0)</f>
        <v>0</v>
      </c>
      <c r="E40" s="32"/>
      <c r="F40" s="34">
        <f t="shared" si="0"/>
        <v>61.733333333333334</v>
      </c>
      <c r="G40" s="32">
        <f t="shared" ca="1" si="2"/>
        <v>0</v>
      </c>
      <c r="H40" s="32">
        <f t="shared" ca="1" si="3"/>
        <v>0</v>
      </c>
      <c r="I40" s="52">
        <f t="shared" ca="1" si="1"/>
        <v>0</v>
      </c>
    </row>
    <row r="41" spans="1:9" ht="18" x14ac:dyDescent="0.45">
      <c r="A41" s="37" t="str">
        <f>employee_master1!A37</f>
        <v>MJ-034</v>
      </c>
      <c r="B41" s="36" t="str">
        <f>employee_master1!B37</f>
        <v>Mohammed abdalla hamad</v>
      </c>
      <c r="C41" s="52">
        <f>employee_master1!N37</f>
        <v>1852</v>
      </c>
      <c r="D41" s="32">
        <f ca="1">IF(TODAY()-employee_master1!F37&gt;=365,21,0)</f>
        <v>0</v>
      </c>
      <c r="E41" s="32"/>
      <c r="F41" s="34">
        <f t="shared" si="0"/>
        <v>61.733333333333334</v>
      </c>
      <c r="G41" s="32">
        <f t="shared" ca="1" si="2"/>
        <v>0</v>
      </c>
      <c r="H41" s="32">
        <f t="shared" ca="1" si="3"/>
        <v>0</v>
      </c>
      <c r="I41" s="52">
        <f t="shared" ca="1" si="1"/>
        <v>0</v>
      </c>
    </row>
    <row r="42" spans="1:9" ht="18" x14ac:dyDescent="0.45">
      <c r="A42" s="37"/>
      <c r="B42" s="36"/>
      <c r="C42" s="52"/>
      <c r="D42" s="32"/>
      <c r="E42" s="32"/>
      <c r="F42" s="34"/>
      <c r="G42" s="32"/>
      <c r="H42" s="32"/>
      <c r="I42" s="52"/>
    </row>
    <row r="43" spans="1:9" ht="18" x14ac:dyDescent="0.45">
      <c r="A43" s="37"/>
      <c r="B43" s="36"/>
      <c r="C43" s="52"/>
      <c r="D43" s="32"/>
      <c r="E43" s="32"/>
      <c r="F43" s="34"/>
      <c r="G43" s="32"/>
      <c r="H43" s="32"/>
      <c r="I43" s="52"/>
    </row>
    <row r="44" spans="1:9" ht="18" x14ac:dyDescent="0.45">
      <c r="A44" s="37" t="str">
        <f>employee_master1!A39</f>
        <v>TOTAL</v>
      </c>
      <c r="B44" s="36"/>
      <c r="C44" s="52">
        <f>employee_master1!N39</f>
        <v>0</v>
      </c>
      <c r="D44" s="32">
        <f ca="1">IF(TODAY()-employee_master1!F39&gt;=365,21,0)</f>
        <v>21</v>
      </c>
      <c r="E44" s="32"/>
      <c r="F44" s="34">
        <f t="shared" ref="F10:F44" si="4">C44/30</f>
        <v>0</v>
      </c>
      <c r="G44" s="32">
        <f t="shared" ca="1" si="2"/>
        <v>21</v>
      </c>
      <c r="H44" s="32">
        <f t="shared" ca="1" si="3"/>
        <v>21</v>
      </c>
      <c r="I44" s="52">
        <f t="shared" ref="I10:I44" ca="1" si="5">F44*H44</f>
        <v>0</v>
      </c>
    </row>
  </sheetData>
  <mergeCells count="1">
    <mergeCell ref="D3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employee_master1</vt:lpstr>
      <vt:lpstr>Annual Leave Taruking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Yaser Attwa</dc:creator>
  <cp:lastModifiedBy>Hassan Omer</cp:lastModifiedBy>
  <dcterms:created xsi:type="dcterms:W3CDTF">2022-09-19T10:22:17Z</dcterms:created>
  <dcterms:modified xsi:type="dcterms:W3CDTF">2026-04-18T12:16:57Z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5a196b-b0ac-4bb3-9452-0c9def99e02d_Enabled">
    <vt:lpwstr>true</vt:lpwstr>
  </property>
  <property fmtid="{D5CDD505-2E9C-101B-9397-08002B2CF9AE}" pid="3" name="MSIP_Label_4b5a196b-b0ac-4bb3-9452-0c9def99e02d_SetDate">
    <vt:lpwstr>2022-09-19T10:22:29Z</vt:lpwstr>
  </property>
  <property fmtid="{D5CDD505-2E9C-101B-9397-08002B2CF9AE}" pid="4" name="MSIP_Label_4b5a196b-b0ac-4bb3-9452-0c9def99e02d_Method">
    <vt:lpwstr>Standard</vt:lpwstr>
  </property>
  <property fmtid="{D5CDD505-2E9C-101B-9397-08002B2CF9AE}" pid="5" name="MSIP_Label_4b5a196b-b0ac-4bb3-9452-0c9def99e02d_Name">
    <vt:lpwstr>Public</vt:lpwstr>
  </property>
  <property fmtid="{D5CDD505-2E9C-101B-9397-08002B2CF9AE}" pid="6" name="MSIP_Label_4b5a196b-b0ac-4bb3-9452-0c9def99e02d_SiteId">
    <vt:lpwstr>1bd081db-9c51-4dac-aba4-b9044ca5fa49</vt:lpwstr>
  </property>
  <property fmtid="{D5CDD505-2E9C-101B-9397-08002B2CF9AE}" pid="7" name="MSIP_Label_4b5a196b-b0ac-4bb3-9452-0c9def99e02d_ActionId">
    <vt:lpwstr>fa3ef783-3d4d-4006-8b77-a308cc6efd16</vt:lpwstr>
  </property>
  <property fmtid="{D5CDD505-2E9C-101B-9397-08002B2CF9AE}" pid="8" name="MSIP_Label_4b5a196b-b0ac-4bb3-9452-0c9def99e02d_ContentBits">
    <vt:lpwstr>0</vt:lpwstr>
  </property>
  <property fmtid="{D5CDD505-2E9C-101B-9397-08002B2CF9AE}" pid="9" name="positionid" linkTarget="prop_positionid">
    <vt:lpwstr>#REF!</vt:lpwstr>
  </property>
</Properties>
</file>